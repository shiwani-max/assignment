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data analytics\"/>
    </mc:Choice>
  </mc:AlternateContent>
  <xr:revisionPtr revIDLastSave="0" documentId="13_ncr:1_{C246F8C0-217F-48B0-9AE4-13A719858E60}" xr6:coauthVersionLast="47" xr6:coauthVersionMax="47" xr10:uidLastSave="{00000000-0000-0000-0000-000000000000}"/>
  <bookViews>
    <workbookView xWindow="-108" yWindow="-108" windowWidth="23256" windowHeight="12456" xr2:uid="{DDA7CA6C-AC89-407D-99A7-C1EFF7C1403E}"/>
  </bookViews>
  <sheets>
    <sheet name="DASHBOARD" sheetId="6" r:id="rId1"/>
    <sheet name="PIVOT TABLES" sheetId="7" r:id="rId2"/>
    <sheet name="Sheet1" sheetId="3" r:id="rId3"/>
  </sheets>
  <definedNames>
    <definedName name="Slicer_Fixed_Cost">#N/A</definedName>
    <definedName name="Slicer_Profit_After_Tax">#N/A</definedName>
    <definedName name="Slicer_Selling_Price_Per_Unit">#N/A</definedName>
    <definedName name="Slicer_Unit_Sold">#N/A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3" l="1"/>
  <c r="M7" i="3"/>
  <c r="M9" i="3"/>
  <c r="M10" i="3"/>
  <c r="M13" i="3"/>
  <c r="M14" i="3"/>
  <c r="M15" i="3"/>
  <c r="M16" i="3"/>
  <c r="M17" i="3"/>
  <c r="M18" i="3"/>
  <c r="M19" i="3"/>
  <c r="M20" i="3"/>
  <c r="M21" i="3"/>
  <c r="M22" i="3"/>
  <c r="M23" i="3"/>
  <c r="M24" i="3"/>
  <c r="M25" i="3"/>
  <c r="C2" i="3"/>
  <c r="E2" i="3" s="1"/>
  <c r="D2" i="3"/>
  <c r="O2" i="3" a="1"/>
  <c r="O2" i="3" s="1"/>
  <c r="M2" i="3" s="1"/>
  <c r="E3" i="3"/>
  <c r="E4" i="3"/>
  <c r="E5" i="3"/>
  <c r="E6" i="3"/>
  <c r="E7" i="3"/>
  <c r="E8" i="3"/>
  <c r="E9" i="3"/>
  <c r="E10" i="3"/>
  <c r="E11" i="3"/>
  <c r="E12" i="3"/>
  <c r="E13" i="3"/>
  <c r="E14" i="3"/>
  <c r="E15" i="3"/>
  <c r="E16" i="3"/>
  <c r="E17" i="3"/>
  <c r="E18" i="3"/>
  <c r="E19" i="3"/>
  <c r="E20" i="3"/>
  <c r="E21" i="3"/>
  <c r="G4" i="3"/>
  <c r="G5" i="3"/>
  <c r="H5" i="3" s="1"/>
  <c r="G6" i="3"/>
  <c r="H6" i="3" s="1"/>
  <c r="G7" i="3"/>
  <c r="H7" i="3" s="1"/>
  <c r="G8" i="3"/>
  <c r="H8" i="3" s="1"/>
  <c r="G9" i="3"/>
  <c r="H9" i="3" s="1"/>
  <c r="G10" i="3"/>
  <c r="H10" i="3" s="1"/>
  <c r="G11" i="3"/>
  <c r="H11" i="3" s="1"/>
  <c r="G12" i="3"/>
  <c r="H12" i="3" s="1"/>
  <c r="G13" i="3"/>
  <c r="H13" i="3" s="1"/>
  <c r="G14" i="3"/>
  <c r="G15" i="3"/>
  <c r="H15" i="3" s="1"/>
  <c r="G16" i="3"/>
  <c r="H16" i="3" s="1"/>
  <c r="G17" i="3"/>
  <c r="H17" i="3" s="1"/>
  <c r="G18" i="3"/>
  <c r="H18" i="3" s="1"/>
  <c r="G19" i="3"/>
  <c r="H19" i="3" s="1"/>
  <c r="G20" i="3"/>
  <c r="H20" i="3" s="1"/>
  <c r="G21" i="3"/>
  <c r="H21" i="3" s="1"/>
  <c r="G22" i="3"/>
  <c r="H22" i="3" s="1"/>
  <c r="G23" i="3"/>
  <c r="H23" i="3" s="1"/>
  <c r="G24" i="3"/>
  <c r="H24" i="3" s="1"/>
  <c r="G25" i="3"/>
  <c r="H25" i="3" s="1"/>
  <c r="G26" i="3"/>
  <c r="H14" i="3"/>
  <c r="L3" i="3"/>
  <c r="G3" i="3" s="1"/>
  <c r="H3" i="3" s="1"/>
  <c r="M12" i="3" l="1"/>
  <c r="M8" i="3"/>
  <c r="M3" i="3"/>
  <c r="M11" i="3"/>
  <c r="M4" i="3"/>
  <c r="F2" i="3"/>
  <c r="G2" i="3" s="1"/>
  <c r="H2" i="3" s="1"/>
  <c r="H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<sst xmlns="http://schemas.openxmlformats.org/spreadsheetml/2006/main" count="46" uniqueCount="24">
  <si>
    <t>Profit After Tax</t>
  </si>
  <si>
    <t>TACOS</t>
  </si>
  <si>
    <t>Amazon Fee</t>
  </si>
  <si>
    <t>Tax Rate</t>
  </si>
  <si>
    <t>Gross Margin</t>
  </si>
  <si>
    <t>Fixed Cost</t>
  </si>
  <si>
    <t>Cost of Goods Sold(Per unit)</t>
  </si>
  <si>
    <t>Interest</t>
  </si>
  <si>
    <t>Selling Price(Per Unit)-</t>
  </si>
  <si>
    <t>Customer Acquisition Cost</t>
  </si>
  <si>
    <t>Net margin per unit</t>
  </si>
  <si>
    <t>Monthly profit before Tax</t>
  </si>
  <si>
    <t xml:space="preserve">Unit Sold </t>
  </si>
  <si>
    <t>TOTAL SALES REVENUE</t>
  </si>
  <si>
    <t>Sum of Selling Price(Per Unit)-</t>
  </si>
  <si>
    <t>Sum of Monthly profit before Tax</t>
  </si>
  <si>
    <t>Sum of Profit After Tax</t>
  </si>
  <si>
    <t>Row Labels</t>
  </si>
  <si>
    <t>(blank)</t>
  </si>
  <si>
    <t>Grand Total</t>
  </si>
  <si>
    <t>Sum of Customer Acquisition Cost</t>
  </si>
  <si>
    <t xml:space="preserve">Sum of Unit Sold </t>
  </si>
  <si>
    <t>#DIV/0!</t>
  </si>
  <si>
    <t>Sum of Tax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</si>
</sst>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Arial"/>
      <family val="2"/>
    </font>
    <font>
      <sz val="10"/>
      <color theme="1"/>
      <name val="Arial"/>
      <family val="2"/>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9" tint="0.39997558519241921"/>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11">
    <xf numFmtId="0" fontId="0" fillId="0" borderId="0" xfId="0"/>
    <xf numFmtId="0" fontId="2" fillId="0" borderId="1" xfId="0" applyFont="1" applyBorder="1" applyAlignment="1">
      <alignment wrapText="1"/>
    </xf>
    <xf numFmtId="9" fontId="0" fillId="0" borderId="0" xfId="0" applyNumberFormat="1"/>
    <xf numFmtId="0" fontId="1" fillId="2" borderId="1" xfId="0" applyFont="1" applyFill="1" applyBorder="1" applyAlignment="1">
      <alignment horizontal="center" wrapText="1"/>
    </xf>
    <xf numFmtId="0" fontId="1" fillId="3" borderId="1" xfId="0" applyFont="1" applyFill="1" applyBorder="1" applyAlignment="1">
      <alignment horizontal="right"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0" fillId="0" borderId="0" xfId="0" pivotButton="1"/>
    <xf numFmtId="0" fontId="0" fillId="0" borderId="0" xfId="0" applyAlignment="1">
      <alignment horizontal="left"/>
    </xf>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thought1.xlsx]PIVOT TABLES!PivotTable12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TABLES'!$B$20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C8B-4BA7-9865-1A98BAD375A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8B-4BA7-9865-1A98BAD375A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C8B-4BA7-9865-1A98BAD375A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C8B-4BA7-9865-1A98BAD375A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C8B-4BA7-9865-1A98BAD375AD}"/>
              </c:ext>
            </c:extLst>
          </c:dPt>
          <c:cat>
            <c:strRef>
              <c:f>'PIVOT TABLES'!$A$21:$A$26</c:f>
              <c:strCache>
                <c:ptCount val="5"/>
                <c:pt idx="0">
                  <c:v>0</c:v>
                </c:pt>
                <c:pt idx="1">
                  <c:v>8400</c:v>
                </c:pt>
                <c:pt idx="2">
                  <c:v>8800</c:v>
                </c:pt>
                <c:pt idx="3">
                  <c:v>12800</c:v>
                </c:pt>
                <c:pt idx="4">
                  <c:v>(blank)</c:v>
                </c:pt>
              </c:strCache>
            </c:strRef>
          </c:cat>
          <c:val>
            <c:numRef>
              <c:f>'PIVOT TABLES'!$B$21:$B$26</c:f>
              <c:numCache>
                <c:formatCode>General</c:formatCode>
                <c:ptCount val="5"/>
                <c:pt idx="0">
                  <c:v>0</c:v>
                </c:pt>
                <c:pt idx="1">
                  <c:v>5</c:v>
                </c:pt>
                <c:pt idx="2">
                  <c:v>5</c:v>
                </c:pt>
                <c:pt idx="3">
                  <c:v>10</c:v>
                </c:pt>
              </c:numCache>
            </c:numRef>
          </c:val>
          <c:extLst>
            <c:ext xmlns:c16="http://schemas.microsoft.com/office/drawing/2014/chart" uri="{C3380CC4-5D6E-409C-BE32-E72D297353CC}">
              <c16:uniqueId val="{0000000A-FC8B-4BA7-9865-1A98BAD375A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thought1.xlsx]PIVOT TABLES!PivotTable14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Sum of Unit Sold </c:v>
                </c:pt>
              </c:strCache>
            </c:strRef>
          </c:tx>
          <c:spPr>
            <a:solidFill>
              <a:schemeClr val="accent1"/>
            </a:solidFill>
            <a:ln>
              <a:noFill/>
            </a:ln>
            <a:effectLst/>
          </c:spPr>
          <c:invertIfNegative val="0"/>
          <c:cat>
            <c:strRef>
              <c:f>'PIVOT TABLES'!$D$4:$D$7</c:f>
              <c:strCache>
                <c:ptCount val="3"/>
                <c:pt idx="0">
                  <c:v>10000</c:v>
                </c:pt>
                <c:pt idx="1">
                  <c:v>15000</c:v>
                </c:pt>
                <c:pt idx="2">
                  <c:v>(blank)</c:v>
                </c:pt>
              </c:strCache>
            </c:strRef>
          </c:cat>
          <c:val>
            <c:numRef>
              <c:f>'PIVOT TABLES'!$E$4:$E$7</c:f>
              <c:numCache>
                <c:formatCode>General</c:formatCode>
                <c:ptCount val="3"/>
                <c:pt idx="0">
                  <c:v>14000</c:v>
                </c:pt>
                <c:pt idx="1">
                  <c:v>5000</c:v>
                </c:pt>
              </c:numCache>
            </c:numRef>
          </c:val>
          <c:extLst>
            <c:ext xmlns:c16="http://schemas.microsoft.com/office/drawing/2014/chart" uri="{C3380CC4-5D6E-409C-BE32-E72D297353CC}">
              <c16:uniqueId val="{00000000-DAB3-4EF7-B39E-11B618D7F22A}"/>
            </c:ext>
          </c:extLst>
        </c:ser>
        <c:ser>
          <c:idx val="1"/>
          <c:order val="1"/>
          <c:tx>
            <c:strRef>
              <c:f>'PIVOT TABLES'!$F$3</c:f>
              <c:strCache>
                <c:ptCount val="1"/>
                <c:pt idx="0">
                  <c:v>Sum of Selling Price(Per Unit)-</c:v>
                </c:pt>
              </c:strCache>
            </c:strRef>
          </c:tx>
          <c:spPr>
            <a:solidFill>
              <a:schemeClr val="accent2"/>
            </a:solidFill>
            <a:ln>
              <a:noFill/>
            </a:ln>
            <a:effectLst/>
          </c:spPr>
          <c:invertIfNegative val="0"/>
          <c:cat>
            <c:strRef>
              <c:f>'PIVOT TABLES'!$D$4:$D$7</c:f>
              <c:strCache>
                <c:ptCount val="3"/>
                <c:pt idx="0">
                  <c:v>10000</c:v>
                </c:pt>
                <c:pt idx="1">
                  <c:v>15000</c:v>
                </c:pt>
                <c:pt idx="2">
                  <c:v>(blank)</c:v>
                </c:pt>
              </c:strCache>
            </c:strRef>
          </c:cat>
          <c:val>
            <c:numRef>
              <c:f>'PIVOT TABLES'!$F$4:$F$7</c:f>
              <c:numCache>
                <c:formatCode>General</c:formatCode>
                <c:ptCount val="3"/>
                <c:pt idx="0">
                  <c:v>95</c:v>
                </c:pt>
                <c:pt idx="1">
                  <c:v>30</c:v>
                </c:pt>
              </c:numCache>
            </c:numRef>
          </c:val>
          <c:extLst>
            <c:ext xmlns:c16="http://schemas.microsoft.com/office/drawing/2014/chart" uri="{C3380CC4-5D6E-409C-BE32-E72D297353CC}">
              <c16:uniqueId val="{00000001-DAB3-4EF7-B39E-11B618D7F22A}"/>
            </c:ext>
          </c:extLst>
        </c:ser>
        <c:ser>
          <c:idx val="2"/>
          <c:order val="2"/>
          <c:tx>
            <c:strRef>
              <c:f>'PIVOT TABLES'!$G$3</c:f>
              <c:strCache>
                <c:ptCount val="1"/>
                <c:pt idx="0">
                  <c:v>Sum of Customer Acquisition Cost</c:v>
                </c:pt>
              </c:strCache>
            </c:strRef>
          </c:tx>
          <c:spPr>
            <a:solidFill>
              <a:schemeClr val="accent3"/>
            </a:solidFill>
            <a:ln>
              <a:noFill/>
            </a:ln>
            <a:effectLst/>
          </c:spPr>
          <c:invertIfNegative val="0"/>
          <c:cat>
            <c:strRef>
              <c:f>'PIVOT TABLES'!$D$4:$D$7</c:f>
              <c:strCache>
                <c:ptCount val="3"/>
                <c:pt idx="0">
                  <c:v>10000</c:v>
                </c:pt>
                <c:pt idx="1">
                  <c:v>15000</c:v>
                </c:pt>
                <c:pt idx="2">
                  <c:v>(blank)</c:v>
                </c:pt>
              </c:strCache>
            </c:strRef>
          </c:cat>
          <c:val>
            <c:numRef>
              <c:f>'PIVOT TABLES'!$G$4:$G$7</c:f>
              <c:numCache>
                <c:formatCode>General</c:formatCode>
                <c:ptCount val="3"/>
                <c:pt idx="0">
                  <c:v>15</c:v>
                </c:pt>
                <c:pt idx="1">
                  <c:v>5</c:v>
                </c:pt>
                <c:pt idx="2">
                  <c:v>0</c:v>
                </c:pt>
              </c:numCache>
            </c:numRef>
          </c:val>
          <c:extLst>
            <c:ext xmlns:c16="http://schemas.microsoft.com/office/drawing/2014/chart" uri="{C3380CC4-5D6E-409C-BE32-E72D297353CC}">
              <c16:uniqueId val="{00000002-DAB3-4EF7-B39E-11B618D7F22A}"/>
            </c:ext>
          </c:extLst>
        </c:ser>
        <c:ser>
          <c:idx val="3"/>
          <c:order val="3"/>
          <c:tx>
            <c:strRef>
              <c:f>'PIVOT TABLES'!$H$3</c:f>
              <c:strCache>
                <c:ptCount val="1"/>
                <c:pt idx="0">
                  <c:v>Sum of Monthly profit before Tax</c:v>
                </c:pt>
              </c:strCache>
            </c:strRef>
          </c:tx>
          <c:spPr>
            <a:solidFill>
              <a:schemeClr val="accent4"/>
            </a:solidFill>
            <a:ln>
              <a:noFill/>
            </a:ln>
            <a:effectLst/>
          </c:spPr>
          <c:invertIfNegative val="0"/>
          <c:cat>
            <c:strRef>
              <c:f>'PIVOT TABLES'!$D$4:$D$7</c:f>
              <c:strCache>
                <c:ptCount val="3"/>
                <c:pt idx="0">
                  <c:v>10000</c:v>
                </c:pt>
                <c:pt idx="1">
                  <c:v>15000</c:v>
                </c:pt>
                <c:pt idx="2">
                  <c:v>(blank)</c:v>
                </c:pt>
              </c:strCache>
            </c:strRef>
          </c:cat>
          <c:val>
            <c:numRef>
              <c:f>'PIVOT TABLES'!$H$4:$H$7</c:f>
              <c:numCache>
                <c:formatCode>General</c:formatCode>
                <c:ptCount val="3"/>
                <c:pt idx="0">
                  <c:v>42500</c:v>
                </c:pt>
                <c:pt idx="1">
                  <c:v>11000</c:v>
                </c:pt>
                <c:pt idx="2">
                  <c:v>0</c:v>
                </c:pt>
              </c:numCache>
            </c:numRef>
          </c:val>
          <c:extLst>
            <c:ext xmlns:c16="http://schemas.microsoft.com/office/drawing/2014/chart" uri="{C3380CC4-5D6E-409C-BE32-E72D297353CC}">
              <c16:uniqueId val="{00000003-DAB3-4EF7-B39E-11B618D7F22A}"/>
            </c:ext>
          </c:extLst>
        </c:ser>
        <c:ser>
          <c:idx val="4"/>
          <c:order val="4"/>
          <c:tx>
            <c:strRef>
              <c:f>'PIVOT TABLES'!$I$3</c:f>
              <c:strCache>
                <c:ptCount val="1"/>
                <c:pt idx="0">
                  <c:v>Sum of Profit After Tax</c:v>
                </c:pt>
              </c:strCache>
            </c:strRef>
          </c:tx>
          <c:spPr>
            <a:solidFill>
              <a:schemeClr val="accent5"/>
            </a:solidFill>
            <a:ln>
              <a:noFill/>
            </a:ln>
            <a:effectLst/>
          </c:spPr>
          <c:invertIfNegative val="0"/>
          <c:cat>
            <c:strRef>
              <c:f>'PIVOT TABLES'!$D$4:$D$7</c:f>
              <c:strCache>
                <c:ptCount val="3"/>
                <c:pt idx="0">
                  <c:v>10000</c:v>
                </c:pt>
                <c:pt idx="1">
                  <c:v>15000</c:v>
                </c:pt>
                <c:pt idx="2">
                  <c:v>(blank)</c:v>
                </c:pt>
              </c:strCache>
            </c:strRef>
          </c:cat>
          <c:val>
            <c:numRef>
              <c:f>'PIVOT TABLES'!$I$4:$I$7</c:f>
              <c:numCache>
                <c:formatCode>General</c:formatCode>
                <c:ptCount val="3"/>
                <c:pt idx="0">
                  <c:v>34000</c:v>
                </c:pt>
                <c:pt idx="1">
                  <c:v>8800</c:v>
                </c:pt>
                <c:pt idx="2">
                  <c:v>0</c:v>
                </c:pt>
              </c:numCache>
            </c:numRef>
          </c:val>
          <c:extLst>
            <c:ext xmlns:c16="http://schemas.microsoft.com/office/drawing/2014/chart" uri="{C3380CC4-5D6E-409C-BE32-E72D297353CC}">
              <c16:uniqueId val="{00000004-DAB3-4EF7-B39E-11B618D7F22A}"/>
            </c:ext>
          </c:extLst>
        </c:ser>
        <c:dLbls>
          <c:showLegendKey val="0"/>
          <c:showVal val="0"/>
          <c:showCatName val="0"/>
          <c:showSerName val="0"/>
          <c:showPercent val="0"/>
          <c:showBubbleSize val="0"/>
        </c:dLbls>
        <c:gapWidth val="219"/>
        <c:overlap val="-27"/>
        <c:axId val="926933631"/>
        <c:axId val="926927391"/>
      </c:barChart>
      <c:catAx>
        <c:axId val="92693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27391"/>
        <c:crosses val="autoZero"/>
        <c:auto val="1"/>
        <c:lblAlgn val="ctr"/>
        <c:lblOffset val="100"/>
        <c:noMultiLvlLbl val="0"/>
      </c:catAx>
      <c:valAx>
        <c:axId val="92692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3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thought1.xlsx]PIVOT TABLES!PivotTable10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c:f>
              <c:strCache>
                <c:ptCount val="1"/>
                <c:pt idx="0">
                  <c:v>Total</c:v>
                </c:pt>
              </c:strCache>
            </c:strRef>
          </c:tx>
          <c:spPr>
            <a:solidFill>
              <a:schemeClr val="accent1"/>
            </a:solidFill>
            <a:ln>
              <a:noFill/>
            </a:ln>
            <a:effectLst/>
          </c:spPr>
          <c:invertIfNegative val="0"/>
          <c:cat>
            <c:strRef>
              <c:f>'PIVOT TABLES'!$A$11:$A$14</c:f>
              <c:strCache>
                <c:ptCount val="3"/>
                <c:pt idx="0">
                  <c:v>0</c:v>
                </c:pt>
                <c:pt idx="1">
                  <c:v>5</c:v>
                </c:pt>
                <c:pt idx="2">
                  <c:v>(blank)</c:v>
                </c:pt>
              </c:strCache>
            </c:strRef>
          </c:cat>
          <c:val>
            <c:numRef>
              <c:f>'PIVOT TABLES'!$B$11:$B$14</c:f>
              <c:numCache>
                <c:formatCode>General</c:formatCode>
                <c:ptCount val="3"/>
                <c:pt idx="1">
                  <c:v>19000</c:v>
                </c:pt>
              </c:numCache>
            </c:numRef>
          </c:val>
          <c:extLst>
            <c:ext xmlns:c16="http://schemas.microsoft.com/office/drawing/2014/chart" uri="{C3380CC4-5D6E-409C-BE32-E72D297353CC}">
              <c16:uniqueId val="{00000000-89F8-4750-AE9C-54E73B555EAD}"/>
            </c:ext>
          </c:extLst>
        </c:ser>
        <c:dLbls>
          <c:showLegendKey val="0"/>
          <c:showVal val="0"/>
          <c:showCatName val="0"/>
          <c:showSerName val="0"/>
          <c:showPercent val="0"/>
          <c:showBubbleSize val="0"/>
        </c:dLbls>
        <c:gapWidth val="219"/>
        <c:overlap val="-27"/>
        <c:axId val="926918751"/>
        <c:axId val="926916351"/>
      </c:barChart>
      <c:catAx>
        <c:axId val="92691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16351"/>
        <c:crosses val="autoZero"/>
        <c:auto val="1"/>
        <c:lblAlgn val="ctr"/>
        <c:lblOffset val="100"/>
        <c:noMultiLvlLbl val="0"/>
      </c:catAx>
      <c:valAx>
        <c:axId val="92691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1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thought1.xlsx]PIVOT TABLES!PivotTable16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TABLES'!$E$20</c:f>
              <c:strCache>
                <c:ptCount val="1"/>
                <c:pt idx="0">
                  <c:v>Total</c:v>
                </c:pt>
              </c:strCache>
            </c:strRef>
          </c:tx>
          <c:spPr>
            <a:solidFill>
              <a:schemeClr val="accent1"/>
            </a:solidFill>
            <a:ln>
              <a:noFill/>
            </a:ln>
            <a:effectLst/>
            <a:sp3d/>
          </c:spPr>
          <c:invertIfNegative val="0"/>
          <c:cat>
            <c:strRef>
              <c:f>'PIVOT TABLES'!$D$21:$D$26</c:f>
              <c:strCache>
                <c:ptCount val="5"/>
                <c:pt idx="0">
                  <c:v>0</c:v>
                </c:pt>
                <c:pt idx="1">
                  <c:v>8400</c:v>
                </c:pt>
                <c:pt idx="2">
                  <c:v>8800</c:v>
                </c:pt>
                <c:pt idx="3">
                  <c:v>12800</c:v>
                </c:pt>
                <c:pt idx="4">
                  <c:v>(blank)</c:v>
                </c:pt>
              </c:strCache>
            </c:strRef>
          </c:cat>
          <c:val>
            <c:numRef>
              <c:f>'PIVOT TABLES'!$E$21:$E$26</c:f>
              <c:numCache>
                <c:formatCode>General</c:formatCode>
                <c:ptCount val="5"/>
                <c:pt idx="1">
                  <c:v>0.2</c:v>
                </c:pt>
                <c:pt idx="2">
                  <c:v>0.2</c:v>
                </c:pt>
                <c:pt idx="3">
                  <c:v>0.4</c:v>
                </c:pt>
              </c:numCache>
            </c:numRef>
          </c:val>
          <c:extLst>
            <c:ext xmlns:c16="http://schemas.microsoft.com/office/drawing/2014/chart" uri="{C3380CC4-5D6E-409C-BE32-E72D297353CC}">
              <c16:uniqueId val="{00000000-4F22-4100-999F-F30D610995BC}"/>
            </c:ext>
          </c:extLst>
        </c:ser>
        <c:dLbls>
          <c:showLegendKey val="0"/>
          <c:showVal val="0"/>
          <c:showCatName val="0"/>
          <c:showSerName val="0"/>
          <c:showPercent val="0"/>
          <c:showBubbleSize val="0"/>
        </c:dLbls>
        <c:gapWidth val="150"/>
        <c:shape val="box"/>
        <c:axId val="1008334288"/>
        <c:axId val="1008327568"/>
        <c:axId val="0"/>
      </c:bar3DChart>
      <c:catAx>
        <c:axId val="100833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27568"/>
        <c:crosses val="autoZero"/>
        <c:auto val="1"/>
        <c:lblAlgn val="ctr"/>
        <c:lblOffset val="100"/>
        <c:noMultiLvlLbl val="0"/>
      </c:catAx>
      <c:valAx>
        <c:axId val="100832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3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thought1.xlsx]PIVOT TABLES!PivotTable9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TABLES'!$A$4:$A$7</c:f>
              <c:strCache>
                <c:ptCount val="3"/>
                <c:pt idx="0">
                  <c:v>10000</c:v>
                </c:pt>
                <c:pt idx="1">
                  <c:v>15000</c:v>
                </c:pt>
                <c:pt idx="2">
                  <c:v>(blank)</c:v>
                </c:pt>
              </c:strCache>
            </c:strRef>
          </c:cat>
          <c:val>
            <c:numRef>
              <c:f>'PIVOT TABLES'!$B$4:$B$7</c:f>
              <c:numCache>
                <c:formatCode>General</c:formatCode>
                <c:ptCount val="3"/>
                <c:pt idx="0">
                  <c:v>14000</c:v>
                </c:pt>
                <c:pt idx="1">
                  <c:v>5000</c:v>
                </c:pt>
              </c:numCache>
            </c:numRef>
          </c:val>
          <c:extLst>
            <c:ext xmlns:c16="http://schemas.microsoft.com/office/drawing/2014/chart" uri="{C3380CC4-5D6E-409C-BE32-E72D297353CC}">
              <c16:uniqueId val="{00000000-86B4-49FD-997A-09C6BFA7C85A}"/>
            </c:ext>
          </c:extLst>
        </c:ser>
        <c:dLbls>
          <c:showLegendKey val="0"/>
          <c:showVal val="0"/>
          <c:showCatName val="0"/>
          <c:showSerName val="0"/>
          <c:showPercent val="0"/>
          <c:showBubbleSize val="0"/>
        </c:dLbls>
        <c:gapWidth val="219"/>
        <c:overlap val="-27"/>
        <c:axId val="89412943"/>
        <c:axId val="89413903"/>
      </c:barChart>
      <c:catAx>
        <c:axId val="8941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13903"/>
        <c:crosses val="autoZero"/>
        <c:auto val="1"/>
        <c:lblAlgn val="ctr"/>
        <c:lblOffset val="100"/>
        <c:noMultiLvlLbl val="0"/>
      </c:catAx>
      <c:valAx>
        <c:axId val="8941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1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thought1.xlsx]PIVOT TABLES!PivotTable15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397408207343416E-2"/>
          <c:y val="0.32347003499562554"/>
          <c:w val="0.56587473002159827"/>
          <c:h val="0.59421733741615634"/>
        </c:manualLayout>
      </c:layout>
      <c:pie3DChart>
        <c:varyColors val="1"/>
        <c:ser>
          <c:idx val="0"/>
          <c:order val="0"/>
          <c:tx>
            <c:strRef>
              <c:f>'PIVOT TABLES'!$E$10</c:f>
              <c:strCache>
                <c:ptCount val="1"/>
                <c:pt idx="0">
                  <c:v>Sum of Profit After Tax</c:v>
                </c:pt>
              </c:strCache>
            </c:strRef>
          </c:tx>
          <c:explosion val="27"/>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61B-45B5-857E-77EEE8C497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61B-45B5-857E-77EEE8C4970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61B-45B5-857E-77EEE8C497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61B-45B5-857E-77EEE8C4970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61B-45B5-857E-77EEE8C4970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61B-45B5-857E-77EEE8C49702}"/>
              </c:ext>
            </c:extLst>
          </c:dPt>
          <c:cat>
            <c:strRef>
              <c:f>'PIVOT TABLES'!$D$11:$D$17</c:f>
              <c:strCache>
                <c:ptCount val="6"/>
                <c:pt idx="0">
                  <c:v>0</c:v>
                </c:pt>
                <c:pt idx="1">
                  <c:v>0.999836666666667</c:v>
                </c:pt>
                <c:pt idx="2">
                  <c:v>0.999920833333333</c:v>
                </c:pt>
                <c:pt idx="3">
                  <c:v>0.999936666666667</c:v>
                </c:pt>
                <c:pt idx="4">
                  <c:v>#DIV/0!</c:v>
                </c:pt>
                <c:pt idx="5">
                  <c:v>(blank)</c:v>
                </c:pt>
              </c:strCache>
            </c:strRef>
          </c:cat>
          <c:val>
            <c:numRef>
              <c:f>'PIVOT TABLES'!$E$11:$E$17</c:f>
              <c:numCache>
                <c:formatCode>General</c:formatCode>
                <c:ptCount val="6"/>
                <c:pt idx="0">
                  <c:v>12800</c:v>
                </c:pt>
                <c:pt idx="1">
                  <c:v>12800</c:v>
                </c:pt>
                <c:pt idx="2">
                  <c:v>8400</c:v>
                </c:pt>
                <c:pt idx="3">
                  <c:v>8800</c:v>
                </c:pt>
                <c:pt idx="4">
                  <c:v>0</c:v>
                </c:pt>
                <c:pt idx="5">
                  <c:v>0</c:v>
                </c:pt>
              </c:numCache>
            </c:numRef>
          </c:val>
          <c:extLst>
            <c:ext xmlns:c16="http://schemas.microsoft.com/office/drawing/2014/chart" uri="{C3380CC4-5D6E-409C-BE32-E72D297353CC}">
              <c16:uniqueId val="{0000000C-D61B-45B5-857E-77EEE8C49702}"/>
            </c:ext>
          </c:extLst>
        </c:ser>
        <c:ser>
          <c:idx val="1"/>
          <c:order val="1"/>
          <c:tx>
            <c:strRef>
              <c:f>'PIVOT TABLES'!$F$10</c:f>
              <c:strCache>
                <c:ptCount val="1"/>
                <c:pt idx="0">
                  <c:v>Sum of Customer Acquisition Cost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E-D61B-45B5-857E-77EEE8C4970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0-D61B-45B5-857E-77EEE8C4970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2-D61B-45B5-857E-77EEE8C4970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4-D61B-45B5-857E-77EEE8C4970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6-D61B-45B5-857E-77EEE8C4970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8-D61B-45B5-857E-77EEE8C49702}"/>
              </c:ext>
            </c:extLst>
          </c:dPt>
          <c:cat>
            <c:strRef>
              <c:f>'PIVOT TABLES'!$D$11:$D$17</c:f>
              <c:strCache>
                <c:ptCount val="6"/>
                <c:pt idx="0">
                  <c:v>0</c:v>
                </c:pt>
                <c:pt idx="1">
                  <c:v>0.999836666666667</c:v>
                </c:pt>
                <c:pt idx="2">
                  <c:v>0.999920833333333</c:v>
                </c:pt>
                <c:pt idx="3">
                  <c:v>0.999936666666667</c:v>
                </c:pt>
                <c:pt idx="4">
                  <c:v>#DIV/0!</c:v>
                </c:pt>
                <c:pt idx="5">
                  <c:v>(blank)</c:v>
                </c:pt>
              </c:strCache>
            </c:strRef>
          </c:cat>
          <c:val>
            <c:numRef>
              <c:f>'PIVOT TABLES'!$F$11:$F$17</c:f>
              <c:numCache>
                <c:formatCode>General</c:formatCode>
                <c:ptCount val="6"/>
                <c:pt idx="0">
                  <c:v>5</c:v>
                </c:pt>
                <c:pt idx="1">
                  <c:v>5</c:v>
                </c:pt>
                <c:pt idx="2">
                  <c:v>5</c:v>
                </c:pt>
                <c:pt idx="3">
                  <c:v>5</c:v>
                </c:pt>
                <c:pt idx="4">
                  <c:v>0</c:v>
                </c:pt>
                <c:pt idx="5">
                  <c:v>0</c:v>
                </c:pt>
              </c:numCache>
            </c:numRef>
          </c:val>
          <c:extLst>
            <c:ext xmlns:c16="http://schemas.microsoft.com/office/drawing/2014/chart" uri="{C3380CC4-5D6E-409C-BE32-E72D297353CC}">
              <c16:uniqueId val="{00000019-D61B-45B5-857E-77EEE8C4970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312420</xdr:colOff>
      <xdr:row>6</xdr:row>
      <xdr:rowOff>45720</xdr:rowOff>
    </xdr:from>
    <xdr:to>
      <xdr:col>16</xdr:col>
      <xdr:colOff>68580</xdr:colOff>
      <xdr:row>18</xdr:row>
      <xdr:rowOff>129540</xdr:rowOff>
    </xdr:to>
    <xdr:graphicFrame macro="">
      <xdr:nvGraphicFramePr>
        <xdr:cNvPr id="3" name="Chart 2">
          <a:extLst>
            <a:ext uri="{FF2B5EF4-FFF2-40B4-BE49-F238E27FC236}">
              <a16:creationId xmlns:a16="http://schemas.microsoft.com/office/drawing/2014/main" id="{AE4F2352-B98D-4852-9709-2661604E3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23</xdr:row>
      <xdr:rowOff>15240</xdr:rowOff>
    </xdr:from>
    <xdr:to>
      <xdr:col>9</xdr:col>
      <xdr:colOff>365760</xdr:colOff>
      <xdr:row>37</xdr:row>
      <xdr:rowOff>167640</xdr:rowOff>
    </xdr:to>
    <xdr:graphicFrame macro="">
      <xdr:nvGraphicFramePr>
        <xdr:cNvPr id="5" name="Chart 4">
          <a:extLst>
            <a:ext uri="{FF2B5EF4-FFF2-40B4-BE49-F238E27FC236}">
              <a16:creationId xmlns:a16="http://schemas.microsoft.com/office/drawing/2014/main" id="{08AC9FF4-C3B8-4193-B4CD-7A2C556B3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312420</xdr:colOff>
      <xdr:row>6</xdr:row>
      <xdr:rowOff>99060</xdr:rowOff>
    </xdr:from>
    <xdr:to>
      <xdr:col>23</xdr:col>
      <xdr:colOff>487680</xdr:colOff>
      <xdr:row>17</xdr:row>
      <xdr:rowOff>160020</xdr:rowOff>
    </xdr:to>
    <xdr:graphicFrame macro="">
      <xdr:nvGraphicFramePr>
        <xdr:cNvPr id="7" name="Chart 6">
          <a:extLst>
            <a:ext uri="{FF2B5EF4-FFF2-40B4-BE49-F238E27FC236}">
              <a16:creationId xmlns:a16="http://schemas.microsoft.com/office/drawing/2014/main" id="{9594F8F4-D3FC-45AC-8D17-16ED49074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373380</xdr:colOff>
      <xdr:row>21</xdr:row>
      <xdr:rowOff>175260</xdr:rowOff>
    </xdr:from>
    <xdr:to>
      <xdr:col>23</xdr:col>
      <xdr:colOff>304800</xdr:colOff>
      <xdr:row>36</xdr:row>
      <xdr:rowOff>175260</xdr:rowOff>
    </xdr:to>
    <xdr:graphicFrame macro="">
      <xdr:nvGraphicFramePr>
        <xdr:cNvPr id="4" name="Chart 3">
          <a:extLst>
            <a:ext uri="{FF2B5EF4-FFF2-40B4-BE49-F238E27FC236}">
              <a16:creationId xmlns:a16="http://schemas.microsoft.com/office/drawing/2014/main" id="{0AFB41B4-5A7A-4E96-AC1D-F7991B580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487680</xdr:colOff>
      <xdr:row>23</xdr:row>
      <xdr:rowOff>144780</xdr:rowOff>
    </xdr:from>
    <xdr:to>
      <xdr:col>16</xdr:col>
      <xdr:colOff>175260</xdr:colOff>
      <xdr:row>35</xdr:row>
      <xdr:rowOff>106680</xdr:rowOff>
    </xdr:to>
    <xdr:graphicFrame macro="">
      <xdr:nvGraphicFramePr>
        <xdr:cNvPr id="6" name="Chart 5">
          <a:extLst>
            <a:ext uri="{FF2B5EF4-FFF2-40B4-BE49-F238E27FC236}">
              <a16:creationId xmlns:a16="http://schemas.microsoft.com/office/drawing/2014/main" id="{B4312DE7-9CFB-4722-9CF9-7477BA3D9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274320</xdr:colOff>
      <xdr:row>5</xdr:row>
      <xdr:rowOff>175260</xdr:rowOff>
    </xdr:from>
    <xdr:to>
      <xdr:col>9</xdr:col>
      <xdr:colOff>144780</xdr:colOff>
      <xdr:row>19</xdr:row>
      <xdr:rowOff>68580</xdr:rowOff>
    </xdr:to>
    <xdr:graphicFrame macro="">
      <xdr:nvGraphicFramePr>
        <xdr:cNvPr id="9" name="Chart 8">
          <a:extLst>
            <a:ext uri="{FF2B5EF4-FFF2-40B4-BE49-F238E27FC236}">
              <a16:creationId xmlns:a16="http://schemas.microsoft.com/office/drawing/2014/main" id="{A898ADA6-9EEA-465E-82B5-291F01270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259080</xdr:colOff>
      <xdr:row>1</xdr:row>
      <xdr:rowOff>22860</xdr:rowOff>
    </xdr:from>
    <xdr:to>
      <xdr:col>13</xdr:col>
      <xdr:colOff>533400</xdr:colOff>
      <xdr:row>4</xdr:row>
      <xdr:rowOff>114300</xdr:rowOff>
    </xdr:to>
    <xdr:sp macro="" textlink="">
      <xdr:nvSpPr>
        <xdr:cNvPr id="10" name="Rectangle: Rounded Corners 9">
          <a:extLst>
            <a:ext uri="{FF2B5EF4-FFF2-40B4-BE49-F238E27FC236}">
              <a16:creationId xmlns:a16="http://schemas.microsoft.com/office/drawing/2014/main" id="{3418C8CA-2A93-A9BD-3252-F86346A3FE20}"/>
            </a:ext>
          </a:extLst>
        </xdr:cNvPr>
        <xdr:cNvSpPr/>
      </xdr:nvSpPr>
      <xdr:spPr>
        <a:xfrm>
          <a:off x="5135880" y="205740"/>
          <a:ext cx="3322320" cy="640080"/>
        </a:xfrm>
        <a:prstGeom prst="roundRect">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0" cap="none" spc="0">
              <a:ln w="0"/>
              <a:solidFill>
                <a:schemeClr val="accent1"/>
              </a:solidFill>
              <a:effectLst>
                <a:outerShdw blurRad="38100" dist="25400" dir="5400000" algn="ctr" rotWithShape="0">
                  <a:srgbClr val="6E747A">
                    <a:alpha val="43000"/>
                  </a:srgbClr>
                </a:outerShdw>
              </a:effectLst>
            </a:rPr>
            <a:t>HEALTH PORTFOLIO</a:t>
          </a:r>
          <a:endParaRPr lang="en-IN" sz="28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1</xdr:col>
      <xdr:colOff>38100</xdr:colOff>
      <xdr:row>5</xdr:row>
      <xdr:rowOff>152401</xdr:rowOff>
    </xdr:from>
    <xdr:to>
      <xdr:col>3</xdr:col>
      <xdr:colOff>175260</xdr:colOff>
      <xdr:row>12</xdr:row>
      <xdr:rowOff>76200</xdr:rowOff>
    </xdr:to>
    <mc:AlternateContent xmlns:mc="http://schemas.openxmlformats.org/markup-compatibility/2006">
      <mc:Choice xmlns:a14="http://schemas.microsoft.com/office/drawing/2010/main" Requires="a14">
        <xdr:graphicFrame macro="">
          <xdr:nvGraphicFramePr>
            <xdr:cNvPr id="8" name="Selling Price(Per Unit)-">
              <a:extLst>
                <a:ext uri="{FF2B5EF4-FFF2-40B4-BE49-F238E27FC236}">
                  <a16:creationId xmlns:a16="http://schemas.microsoft.com/office/drawing/2014/main" id="{93C8EDE4-81D0-4FCE-A28E-ACEF36AAC171}"/>
                </a:ext>
              </a:extLst>
            </xdr:cNvPr>
            <xdr:cNvGraphicFramePr/>
          </xdr:nvGraphicFramePr>
          <xdr:xfrm>
            <a:off x="0" y="0"/>
            <a:ext cx="0" cy="0"/>
          </xdr:xfrm>
          <a:graphic>
            <a:graphicData uri="http://schemas.microsoft.com/office/drawing/2010/slicer">
              <sle:slicer xmlns:sle="http://schemas.microsoft.com/office/drawing/2010/slicer" name="Selling Price(Per Unit)-"/>
            </a:graphicData>
          </a:graphic>
        </xdr:graphicFrame>
      </mc:Choice>
      <mc:Fallback>
        <xdr:sp macro="" textlink="">
          <xdr:nvSpPr>
            <xdr:cNvPr id="0" name=""/>
            <xdr:cNvSpPr>
              <a:spLocks noTextEdit="1"/>
            </xdr:cNvSpPr>
          </xdr:nvSpPr>
          <xdr:spPr>
            <a:xfrm>
              <a:off x="647700" y="1066801"/>
              <a:ext cx="135636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13</xdr:row>
      <xdr:rowOff>1</xdr:rowOff>
    </xdr:from>
    <xdr:to>
      <xdr:col>3</xdr:col>
      <xdr:colOff>167640</xdr:colOff>
      <xdr:row>19</xdr:row>
      <xdr:rowOff>30480</xdr:rowOff>
    </xdr:to>
    <mc:AlternateContent xmlns:mc="http://schemas.openxmlformats.org/markup-compatibility/2006">
      <mc:Choice xmlns:a14="http://schemas.microsoft.com/office/drawing/2010/main" Requires="a14">
        <xdr:graphicFrame macro="">
          <xdr:nvGraphicFramePr>
            <xdr:cNvPr id="11" name="Unit Sold ">
              <a:extLst>
                <a:ext uri="{FF2B5EF4-FFF2-40B4-BE49-F238E27FC236}">
                  <a16:creationId xmlns:a16="http://schemas.microsoft.com/office/drawing/2014/main" id="{B51F88CF-DEAB-4421-A57C-1573B8869A06}"/>
                </a:ext>
              </a:extLst>
            </xdr:cNvPr>
            <xdr:cNvGraphicFramePr/>
          </xdr:nvGraphicFramePr>
          <xdr:xfrm>
            <a:off x="0" y="0"/>
            <a:ext cx="0" cy="0"/>
          </xdr:xfrm>
          <a:graphic>
            <a:graphicData uri="http://schemas.microsoft.com/office/drawing/2010/slicer">
              <sle:slicer xmlns:sle="http://schemas.microsoft.com/office/drawing/2010/slicer" name="Unit Sold "/>
            </a:graphicData>
          </a:graphic>
        </xdr:graphicFrame>
      </mc:Choice>
      <mc:Fallback>
        <xdr:sp macro="" textlink="">
          <xdr:nvSpPr>
            <xdr:cNvPr id="0" name=""/>
            <xdr:cNvSpPr>
              <a:spLocks noTextEdit="1"/>
            </xdr:cNvSpPr>
          </xdr:nvSpPr>
          <xdr:spPr>
            <a:xfrm>
              <a:off x="609600" y="2377441"/>
              <a:ext cx="1386840" cy="1127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23</xdr:row>
      <xdr:rowOff>60960</xdr:rowOff>
    </xdr:from>
    <xdr:to>
      <xdr:col>2</xdr:col>
      <xdr:colOff>594360</xdr:colOff>
      <xdr:row>32</xdr:row>
      <xdr:rowOff>137159</xdr:rowOff>
    </xdr:to>
    <mc:AlternateContent xmlns:mc="http://schemas.openxmlformats.org/markup-compatibility/2006">
      <mc:Choice xmlns:a14="http://schemas.microsoft.com/office/drawing/2010/main" Requires="a14">
        <xdr:graphicFrame macro="">
          <xdr:nvGraphicFramePr>
            <xdr:cNvPr id="12" name="Profit After Tax">
              <a:extLst>
                <a:ext uri="{FF2B5EF4-FFF2-40B4-BE49-F238E27FC236}">
                  <a16:creationId xmlns:a16="http://schemas.microsoft.com/office/drawing/2014/main" id="{7C17DFD9-5353-4278-974F-0A19D10C5B22}"/>
                </a:ext>
              </a:extLst>
            </xdr:cNvPr>
            <xdr:cNvGraphicFramePr/>
          </xdr:nvGraphicFramePr>
          <xdr:xfrm>
            <a:off x="0" y="0"/>
            <a:ext cx="0" cy="0"/>
          </xdr:xfrm>
          <a:graphic>
            <a:graphicData uri="http://schemas.microsoft.com/office/drawing/2010/slicer">
              <sle:slicer xmlns:sle="http://schemas.microsoft.com/office/drawing/2010/slicer" name="Profit After Tax"/>
            </a:graphicData>
          </a:graphic>
        </xdr:graphicFrame>
      </mc:Choice>
      <mc:Fallback>
        <xdr:sp macro="" textlink="">
          <xdr:nvSpPr>
            <xdr:cNvPr id="0" name=""/>
            <xdr:cNvSpPr>
              <a:spLocks noTextEdit="1"/>
            </xdr:cNvSpPr>
          </xdr:nvSpPr>
          <xdr:spPr>
            <a:xfrm>
              <a:off x="662940" y="4267200"/>
              <a:ext cx="115062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34</xdr:row>
      <xdr:rowOff>1</xdr:rowOff>
    </xdr:from>
    <xdr:to>
      <xdr:col>3</xdr:col>
      <xdr:colOff>30480</xdr:colOff>
      <xdr:row>39</xdr:row>
      <xdr:rowOff>152401</xdr:rowOff>
    </xdr:to>
    <mc:AlternateContent xmlns:mc="http://schemas.openxmlformats.org/markup-compatibility/2006">
      <mc:Choice xmlns:a14="http://schemas.microsoft.com/office/drawing/2010/main" Requires="a14">
        <xdr:graphicFrame macro="">
          <xdr:nvGraphicFramePr>
            <xdr:cNvPr id="13" name="Fixed Cost">
              <a:extLst>
                <a:ext uri="{FF2B5EF4-FFF2-40B4-BE49-F238E27FC236}">
                  <a16:creationId xmlns:a16="http://schemas.microsoft.com/office/drawing/2014/main" id="{BEF66747-AD1B-4F06-ADD3-A6807DBE1588}"/>
                </a:ext>
              </a:extLst>
            </xdr:cNvPr>
            <xdr:cNvGraphicFramePr/>
          </xdr:nvGraphicFramePr>
          <xdr:xfrm>
            <a:off x="0" y="0"/>
            <a:ext cx="0" cy="0"/>
          </xdr:xfrm>
          <a:graphic>
            <a:graphicData uri="http://schemas.microsoft.com/office/drawing/2010/slicer">
              <sle:slicer xmlns:sle="http://schemas.microsoft.com/office/drawing/2010/slicer" name="Fixed Cost"/>
            </a:graphicData>
          </a:graphic>
        </xdr:graphicFrame>
      </mc:Choice>
      <mc:Fallback>
        <xdr:sp macro="" textlink="">
          <xdr:nvSpPr>
            <xdr:cNvPr id="0" name=""/>
            <xdr:cNvSpPr>
              <a:spLocks noTextEdit="1"/>
            </xdr:cNvSpPr>
          </xdr:nvSpPr>
          <xdr:spPr>
            <a:xfrm>
              <a:off x="609600" y="6217921"/>
              <a:ext cx="124968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36.082528819446" createdVersion="8" refreshedVersion="8" minRefreshableVersion="3" recordCount="25" xr:uid="{CF032DB3-5B1D-454D-86A1-CF521DA18495}">
  <cacheSource type="worksheet">
    <worksheetSource ref="A1:M26" sheet="Sheet1"/>
  </cacheSource>
  <cacheFields count="13">
    <cacheField name="Cost of Goods Sold(Per unit)" numFmtId="0">
      <sharedItems containsString="0" containsBlank="1" containsNumber="1" containsInteger="1" minValue="15" maxValue="15"/>
    </cacheField>
    <cacheField name="Selling Price(Per Unit)-" numFmtId="0">
      <sharedItems containsString="0" containsBlank="1" containsNumber="1" containsInteger="1" minValue="30" maxValue="35" count="3">
        <n v="30"/>
        <m/>
        <n v="35"/>
      </sharedItems>
    </cacheField>
    <cacheField name="Gross Margin" numFmtId="0">
      <sharedItems containsString="0" containsBlank="1" containsNumber="1" containsInteger="1" minValue="15" maxValue="15"/>
    </cacheField>
    <cacheField name="Amazon Fee" numFmtId="0">
      <sharedItems containsString="0" containsBlank="1" containsNumber="1" minValue="4.5" maxValue="4.5"/>
    </cacheField>
    <cacheField name="Customer Acquisition Cost" numFmtId="0">
      <sharedItems containsString="0" containsBlank="1" containsNumber="1" containsInteger="1" minValue="0" maxValue="5" count="3">
        <n v="5"/>
        <n v="0"/>
        <m/>
      </sharedItems>
    </cacheField>
    <cacheField name="Net margin per unit" numFmtId="0">
      <sharedItems containsString="0" containsBlank="1" containsNumber="1" minValue="5.5" maxValue="5.5" count="2">
        <n v="5.5"/>
        <m/>
      </sharedItems>
    </cacheField>
    <cacheField name="Monthly profit before Tax" numFmtId="0">
      <sharedItems containsSemiMixedTypes="0" containsString="0" containsNumber="1" containsInteger="1" minValue="0" maxValue="16000"/>
    </cacheField>
    <cacheField name="Profit After Tax" numFmtId="0">
      <sharedItems containsString="0" containsBlank="1" containsNumber="1" containsInteger="1" minValue="0" maxValue="12800" count="5">
        <n v="12800"/>
        <n v="8800"/>
        <n v="8400"/>
        <n v="0"/>
        <m/>
      </sharedItems>
    </cacheField>
    <cacheField name="Unit Sold " numFmtId="0">
      <sharedItems containsString="0" containsBlank="1" containsNumber="1" containsInteger="1" minValue="4000" maxValue="5000" count="3">
        <n v="5000"/>
        <n v="4000"/>
        <m/>
      </sharedItems>
    </cacheField>
    <cacheField name="Tax Rate" numFmtId="0">
      <sharedItems containsString="0" containsBlank="1" containsNumber="1" minValue="0.2" maxValue="0.2" count="2">
        <n v="0.2"/>
        <m/>
      </sharedItems>
    </cacheField>
    <cacheField name="Interest" numFmtId="0">
      <sharedItems containsString="0" containsBlank="1" containsNumber="1" containsInteger="1" minValue="1500" maxValue="1500"/>
    </cacheField>
    <cacheField name="Fixed Cost" numFmtId="0">
      <sharedItems containsString="0" containsBlank="1" containsNumber="1" containsInteger="1" minValue="10000" maxValue="15000" count="3">
        <n v="10000"/>
        <n v="15000"/>
        <m/>
      </sharedItems>
    </cacheField>
    <cacheField name="TACOS" numFmtId="0">
      <sharedItems containsBlank="1" containsMixedTypes="1" containsNumber="1" minValue="0" maxValue="0.9999366666666667" count="6">
        <n v="0.99983666666666671"/>
        <n v="0.9999366666666667"/>
        <n v="0.99992083333333337"/>
        <m/>
        <n v="0"/>
        <e v="#DIV/0!"/>
      </sharedItems>
    </cacheField>
  </cacheFields>
  <extLst>
    <ext xmlns:x14="http://schemas.microsoft.com/office/spreadsheetml/2009/9/main" uri="{725AE2AE-9491-48be-B2B4-4EB974FC3084}">
      <x14:pivotCacheDefinition pivotCacheId="92044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5"/>
    <x v="0"/>
    <n v="15"/>
    <n v="4.5"/>
    <x v="0"/>
    <x v="0"/>
    <n v="16000"/>
    <x v="0"/>
    <x v="0"/>
    <x v="0"/>
    <n v="1500"/>
    <x v="0"/>
    <x v="0"/>
  </r>
  <r>
    <m/>
    <x v="0"/>
    <n v="15"/>
    <n v="4.5"/>
    <x v="0"/>
    <x v="0"/>
    <n v="11000"/>
    <x v="1"/>
    <x v="0"/>
    <x v="0"/>
    <n v="1500"/>
    <x v="1"/>
    <x v="1"/>
  </r>
  <r>
    <m/>
    <x v="0"/>
    <n v="15"/>
    <n v="4.5"/>
    <x v="0"/>
    <x v="0"/>
    <n v="10500"/>
    <x v="2"/>
    <x v="1"/>
    <x v="0"/>
    <n v="1500"/>
    <x v="0"/>
    <x v="2"/>
  </r>
  <r>
    <m/>
    <x v="1"/>
    <m/>
    <m/>
    <x v="1"/>
    <x v="1"/>
    <n v="0"/>
    <x v="3"/>
    <x v="2"/>
    <x v="1"/>
    <m/>
    <x v="2"/>
    <x v="3"/>
  </r>
  <r>
    <m/>
    <x v="1"/>
    <m/>
    <m/>
    <x v="1"/>
    <x v="1"/>
    <n v="0"/>
    <x v="3"/>
    <x v="2"/>
    <x v="1"/>
    <m/>
    <x v="2"/>
    <x v="4"/>
  </r>
  <r>
    <n v="15"/>
    <x v="2"/>
    <n v="15"/>
    <n v="4.5"/>
    <x v="0"/>
    <x v="0"/>
    <n v="16000"/>
    <x v="0"/>
    <x v="0"/>
    <x v="0"/>
    <n v="1500"/>
    <x v="0"/>
    <x v="4"/>
  </r>
  <r>
    <m/>
    <x v="1"/>
    <m/>
    <m/>
    <x v="1"/>
    <x v="1"/>
    <n v="0"/>
    <x v="3"/>
    <x v="2"/>
    <x v="1"/>
    <m/>
    <x v="2"/>
    <x v="5"/>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1"/>
    <x v="1"/>
    <n v="0"/>
    <x v="3"/>
    <x v="2"/>
    <x v="1"/>
    <m/>
    <x v="2"/>
    <x v="4"/>
  </r>
  <r>
    <m/>
    <x v="1"/>
    <m/>
    <m/>
    <x v="2"/>
    <x v="1"/>
    <n v="0"/>
    <x v="3"/>
    <x v="2"/>
    <x v="1"/>
    <m/>
    <x v="2"/>
    <x v="4"/>
  </r>
  <r>
    <m/>
    <x v="1"/>
    <m/>
    <m/>
    <x v="2"/>
    <x v="1"/>
    <n v="0"/>
    <x v="3"/>
    <x v="2"/>
    <x v="1"/>
    <m/>
    <x v="2"/>
    <x v="4"/>
  </r>
  <r>
    <m/>
    <x v="1"/>
    <m/>
    <m/>
    <x v="2"/>
    <x v="1"/>
    <n v="0"/>
    <x v="3"/>
    <x v="2"/>
    <x v="1"/>
    <m/>
    <x v="2"/>
    <x v="4"/>
  </r>
  <r>
    <m/>
    <x v="1"/>
    <m/>
    <m/>
    <x v="2"/>
    <x v="1"/>
    <n v="0"/>
    <x v="3"/>
    <x v="2"/>
    <x v="1"/>
    <m/>
    <x v="2"/>
    <x v="4"/>
  </r>
  <r>
    <m/>
    <x v="1"/>
    <m/>
    <m/>
    <x v="2"/>
    <x v="1"/>
    <n v="0"/>
    <x v="4"/>
    <x v="2"/>
    <x v="1"/>
    <m/>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2E9A8-E5A1-4397-A156-8F8E05781A7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3">
    <pivotField showAll="0"/>
    <pivotField showAll="0">
      <items count="4">
        <item x="0"/>
        <item x="2"/>
        <item x="1"/>
        <item t="default"/>
      </items>
    </pivotField>
    <pivotField showAll="0"/>
    <pivotField showAll="0"/>
    <pivotField showAll="0"/>
    <pivotField showAll="0"/>
    <pivotField showAll="0"/>
    <pivotField showAll="0">
      <items count="6">
        <item x="3"/>
        <item x="2"/>
        <item x="1"/>
        <item x="0"/>
        <item x="4"/>
        <item t="default"/>
      </items>
    </pivotField>
    <pivotField dataField="1" showAll="0">
      <items count="4">
        <item x="1"/>
        <item x="0"/>
        <item x="2"/>
        <item t="default"/>
      </items>
    </pivotField>
    <pivotField showAll="0"/>
    <pivotField showAll="0"/>
    <pivotField axis="axisRow" showAll="0">
      <items count="4">
        <item x="0"/>
        <item x="1"/>
        <item x="2"/>
        <item t="default"/>
      </items>
    </pivotField>
    <pivotField showAll="0"/>
  </pivotFields>
  <rowFields count="1">
    <field x="11"/>
  </rowFields>
  <rowItems count="4">
    <i>
      <x/>
    </i>
    <i>
      <x v="1"/>
    </i>
    <i>
      <x v="2"/>
    </i>
    <i t="grand">
      <x/>
    </i>
  </rowItems>
  <colItems count="1">
    <i/>
  </colItems>
  <dataFields count="1">
    <dataField name="Sum of Unit Sold " fld="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8488A-2422-4DD2-AA26-CF6EDB3E0F64}"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B26" firstHeaderRow="1" firstDataRow="1" firstDataCol="1"/>
  <pivotFields count="13">
    <pivotField showAll="0"/>
    <pivotField showAll="0">
      <items count="4">
        <item x="0"/>
        <item x="2"/>
        <item x="1"/>
        <item t="default"/>
      </items>
    </pivotField>
    <pivotField showAll="0"/>
    <pivotField showAll="0"/>
    <pivotField dataField="1" showAll="0"/>
    <pivotField showAll="0"/>
    <pivotField showAll="0"/>
    <pivotField axis="axisRow" showAll="0">
      <items count="6">
        <item x="3"/>
        <item x="2"/>
        <item x="1"/>
        <item x="0"/>
        <item x="4"/>
        <item t="default"/>
      </items>
    </pivotField>
    <pivotField showAll="0">
      <items count="4">
        <item x="1"/>
        <item x="0"/>
        <item x="2"/>
        <item t="default"/>
      </items>
    </pivotField>
    <pivotField showAll="0"/>
    <pivotField showAll="0"/>
    <pivotField showAll="0">
      <items count="4">
        <item x="0"/>
        <item x="1"/>
        <item x="2"/>
        <item t="default"/>
      </items>
    </pivotField>
    <pivotField showAll="0"/>
  </pivotFields>
  <rowFields count="1">
    <field x="7"/>
  </rowFields>
  <rowItems count="6">
    <i>
      <x/>
    </i>
    <i>
      <x v="1"/>
    </i>
    <i>
      <x v="2"/>
    </i>
    <i>
      <x v="3"/>
    </i>
    <i>
      <x v="4"/>
    </i>
    <i t="grand">
      <x/>
    </i>
  </rowItems>
  <colItems count="1">
    <i/>
  </colItems>
  <dataFields count="1">
    <dataField name="Sum of Customer Acquisition Cost" fld="4" baseField="0" baseItem="0"/>
  </dataFields>
  <chartFormats count="7">
    <chartFormat chart="6"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7"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2"/>
          </reference>
        </references>
      </pivotArea>
    </chartFormat>
    <chartFormat chart="8" format="11">
      <pivotArea type="data" outline="0" fieldPosition="0">
        <references count="2">
          <reference field="4294967294" count="1" selected="0">
            <x v="0"/>
          </reference>
          <reference field="7" count="1" selected="0">
            <x v="3"/>
          </reference>
        </references>
      </pivotArea>
    </chartFormat>
    <chartFormat chart="8"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F0FF0-FD80-4CC8-84A6-09BACAED3E9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18" firstHeaderRow="0" firstDataRow="1" firstDataCol="0"/>
  <pivotFields count="13">
    <pivotField showAll="0"/>
    <pivotField showAll="0">
      <items count="4">
        <item x="0"/>
        <item x="2"/>
        <item x="1"/>
        <item t="default"/>
      </items>
    </pivotField>
    <pivotField showAll="0"/>
    <pivotField showAll="0"/>
    <pivotField dataField="1" showAll="0"/>
    <pivotField showAll="0"/>
    <pivotField showAll="0"/>
    <pivotField showAll="0">
      <items count="6">
        <item x="3"/>
        <item x="2"/>
        <item x="1"/>
        <item x="0"/>
        <item x="4"/>
        <item t="default"/>
      </items>
    </pivotField>
    <pivotField dataField="1" showAll="0">
      <items count="4">
        <item x="1"/>
        <item x="0"/>
        <item x="2"/>
        <item t="default"/>
      </items>
    </pivotField>
    <pivotField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Sum of Unit Sold " fld="8" baseField="0" baseItem="0"/>
    <dataField name="Sum of Customer Acquisition Cost"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9FDE45-5170-48EF-910D-861C453CC673}"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I7" firstHeaderRow="0" firstDataRow="1" firstDataCol="1"/>
  <pivotFields count="13">
    <pivotField showAll="0"/>
    <pivotField dataField="1" showAll="0">
      <items count="4">
        <item x="0"/>
        <item x="2"/>
        <item x="1"/>
        <item t="default"/>
      </items>
    </pivotField>
    <pivotField showAll="0"/>
    <pivotField showAll="0"/>
    <pivotField dataField="1" showAll="0"/>
    <pivotField showAll="0"/>
    <pivotField dataField="1" showAll="0"/>
    <pivotField dataField="1" showAll="0">
      <items count="6">
        <item x="3"/>
        <item x="2"/>
        <item x="1"/>
        <item x="0"/>
        <item x="4"/>
        <item t="default"/>
      </items>
    </pivotField>
    <pivotField dataField="1" showAll="0">
      <items count="4">
        <item x="1"/>
        <item x="0"/>
        <item x="2"/>
        <item t="default"/>
      </items>
    </pivotField>
    <pivotField showAll="0"/>
    <pivotField showAll="0"/>
    <pivotField axis="axisRow" showAll="0">
      <items count="4">
        <item x="0"/>
        <item x="1"/>
        <item x="2"/>
        <item t="default"/>
      </items>
    </pivotField>
    <pivotField showAll="0"/>
  </pivotFields>
  <rowFields count="1">
    <field x="11"/>
  </rowFields>
  <rowItems count="4">
    <i>
      <x/>
    </i>
    <i>
      <x v="1"/>
    </i>
    <i>
      <x v="2"/>
    </i>
    <i t="grand">
      <x/>
    </i>
  </rowItems>
  <colFields count="1">
    <field x="-2"/>
  </colFields>
  <colItems count="5">
    <i>
      <x/>
    </i>
    <i i="1">
      <x v="1"/>
    </i>
    <i i="2">
      <x v="2"/>
    </i>
    <i i="3">
      <x v="3"/>
    </i>
    <i i="4">
      <x v="4"/>
    </i>
  </colItems>
  <dataFields count="5">
    <dataField name="Sum of Unit Sold " fld="8" baseField="0" baseItem="0"/>
    <dataField name="Sum of Selling Price(Per Unit)-" fld="1" baseField="0" baseItem="0"/>
    <dataField name="Sum of Customer Acquisition Cost" fld="4" baseField="0" baseItem="0"/>
    <dataField name="Sum of Monthly profit before Tax" fld="6" baseField="0" baseItem="0"/>
    <dataField name="Sum of Profit After Tax" fld="7" baseField="0" baseItem="0"/>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2"/>
          </reference>
        </references>
      </pivotArea>
    </chartFormat>
    <chartFormat chart="7" format="13" series="1">
      <pivotArea type="data" outline="0" fieldPosition="0">
        <references count="1">
          <reference field="4294967294" count="1" selected="0">
            <x v="3"/>
          </reference>
        </references>
      </pivotArea>
    </chartFormat>
    <chartFormat chart="7"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BA3AF8-AB68-4B6E-B005-57F6529BDBDB}"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20:E26" firstHeaderRow="1" firstDataRow="1" firstDataCol="1"/>
  <pivotFields count="13">
    <pivotField showAll="0"/>
    <pivotField showAll="0">
      <items count="4">
        <item x="0"/>
        <item x="2"/>
        <item x="1"/>
        <item t="default"/>
      </items>
    </pivotField>
    <pivotField showAll="0"/>
    <pivotField showAll="0"/>
    <pivotField showAll="0">
      <items count="4">
        <item x="1"/>
        <item x="0"/>
        <item x="2"/>
        <item t="default"/>
      </items>
    </pivotField>
    <pivotField showAll="0">
      <items count="3">
        <item x="0"/>
        <item x="1"/>
        <item t="default"/>
      </items>
    </pivotField>
    <pivotField showAll="0"/>
    <pivotField axis="axisRow" showAll="0">
      <items count="6">
        <item x="3"/>
        <item x="2"/>
        <item x="1"/>
        <item x="0"/>
        <item x="4"/>
        <item t="default"/>
      </items>
    </pivotField>
    <pivotField showAll="0">
      <items count="4">
        <item x="1"/>
        <item x="0"/>
        <item x="2"/>
        <item t="default"/>
      </items>
    </pivotField>
    <pivotField dataField="1" showAll="0">
      <items count="3">
        <item h="1" x="0"/>
        <item x="1"/>
        <item t="default"/>
      </items>
    </pivotField>
    <pivotField showAll="0"/>
    <pivotField showAll="0">
      <items count="4">
        <item x="0"/>
        <item x="1"/>
        <item x="2"/>
        <item t="default"/>
      </items>
    </pivotField>
    <pivotField showAll="0">
      <items count="7">
        <item x="4"/>
        <item x="0"/>
        <item x="2"/>
        <item x="1"/>
        <item x="5"/>
        <item x="3"/>
        <item t="default"/>
      </items>
    </pivotField>
  </pivotFields>
  <rowFields count="1">
    <field x="7"/>
  </rowFields>
  <rowItems count="6">
    <i>
      <x/>
    </i>
    <i>
      <x v="1"/>
    </i>
    <i>
      <x v="2"/>
    </i>
    <i>
      <x v="3"/>
    </i>
    <i>
      <x v="4"/>
    </i>
    <i t="grand">
      <x/>
    </i>
  </rowItems>
  <colItems count="1">
    <i/>
  </colItems>
  <dataFields count="1">
    <dataField name="Sum of Tax Rate" fld="9"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5B708F-A44A-409B-89DB-4282F200E759}"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4" firstHeaderRow="1" firstDataRow="1" firstDataCol="1"/>
  <pivotFields count="13">
    <pivotField showAll="0"/>
    <pivotField showAll="0">
      <items count="4">
        <item x="0"/>
        <item x="2"/>
        <item x="1"/>
        <item t="default"/>
      </items>
    </pivotField>
    <pivotField showAll="0"/>
    <pivotField showAll="0"/>
    <pivotField axis="axisRow" showAll="0">
      <items count="4">
        <item x="1"/>
        <item x="0"/>
        <item x="2"/>
        <item t="default"/>
      </items>
    </pivotField>
    <pivotField showAll="0"/>
    <pivotField showAll="0"/>
    <pivotField showAll="0">
      <items count="6">
        <item x="3"/>
        <item x="2"/>
        <item x="1"/>
        <item x="0"/>
        <item x="4"/>
        <item t="default"/>
      </items>
    </pivotField>
    <pivotField dataField="1" showAll="0">
      <items count="4">
        <item x="1"/>
        <item x="0"/>
        <item x="2"/>
        <item t="default"/>
      </items>
    </pivotField>
    <pivotField showAll="0"/>
    <pivotField showAll="0"/>
    <pivotField showAll="0">
      <items count="4">
        <item x="0"/>
        <item x="1"/>
        <item x="2"/>
        <item t="default"/>
      </items>
    </pivotField>
    <pivotField showAll="0"/>
  </pivotFields>
  <rowFields count="1">
    <field x="4"/>
  </rowFields>
  <rowItems count="4">
    <i>
      <x/>
    </i>
    <i>
      <x v="1"/>
    </i>
    <i>
      <x v="2"/>
    </i>
    <i t="grand">
      <x/>
    </i>
  </rowItems>
  <colItems count="1">
    <i/>
  </colItems>
  <dataFields count="1">
    <dataField name="Sum of Unit Sold " fld="8"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EB86F9-EE82-43BE-A5E1-02F092F52A8B}"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0:F17" firstHeaderRow="0" firstDataRow="1" firstDataCol="1"/>
  <pivotFields count="13">
    <pivotField showAll="0"/>
    <pivotField showAll="0">
      <items count="4">
        <item x="0"/>
        <item x="2"/>
        <item x="1"/>
        <item t="default"/>
      </items>
    </pivotField>
    <pivotField showAll="0"/>
    <pivotField showAll="0"/>
    <pivotField dataField="1" showAll="0"/>
    <pivotField showAll="0"/>
    <pivotField showAll="0"/>
    <pivotField dataField="1" showAll="0">
      <items count="6">
        <item x="3"/>
        <item x="2"/>
        <item x="1"/>
        <item x="0"/>
        <item x="4"/>
        <item t="default"/>
      </items>
    </pivotField>
    <pivotField showAll="0">
      <items count="4">
        <item x="1"/>
        <item x="0"/>
        <item x="2"/>
        <item t="default"/>
      </items>
    </pivotField>
    <pivotField showAll="0"/>
    <pivotField showAll="0"/>
    <pivotField showAll="0">
      <items count="4">
        <item x="0"/>
        <item x="1"/>
        <item x="2"/>
        <item t="default"/>
      </items>
    </pivotField>
    <pivotField axis="axisRow" showAll="0">
      <items count="7">
        <item x="4"/>
        <item x="0"/>
        <item x="2"/>
        <item x="1"/>
        <item x="5"/>
        <item x="3"/>
        <item t="default"/>
      </items>
    </pivotField>
  </pivotFields>
  <rowFields count="1">
    <field x="12"/>
  </rowFields>
  <rowItems count="7">
    <i>
      <x/>
    </i>
    <i>
      <x v="1"/>
    </i>
    <i>
      <x v="2"/>
    </i>
    <i>
      <x v="3"/>
    </i>
    <i>
      <x v="4"/>
    </i>
    <i>
      <x v="5"/>
    </i>
    <i t="grand">
      <x/>
    </i>
  </rowItems>
  <colFields count="1">
    <field x="-2"/>
  </colFields>
  <colItems count="2">
    <i>
      <x/>
    </i>
    <i i="1">
      <x v="1"/>
    </i>
  </colItems>
  <dataFields count="2">
    <dataField name="Sum of Profit After Tax" fld="7" baseField="0" baseItem="0"/>
    <dataField name="Sum of Customer Acquisition Cost" fld="4" baseField="0" baseItem="0"/>
  </dataFields>
  <chartFormats count="58">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2" count="1" selected="0">
            <x v="0"/>
          </reference>
        </references>
      </pivotArea>
    </chartFormat>
    <chartFormat chart="12" format="18">
      <pivotArea type="data" outline="0" fieldPosition="0">
        <references count="2">
          <reference field="4294967294" count="1" selected="0">
            <x v="0"/>
          </reference>
          <reference field="12" count="1" selected="0">
            <x v="1"/>
          </reference>
        </references>
      </pivotArea>
    </chartFormat>
    <chartFormat chart="12" format="19">
      <pivotArea type="data" outline="0" fieldPosition="0">
        <references count="2">
          <reference field="4294967294" count="1" selected="0">
            <x v="0"/>
          </reference>
          <reference field="12" count="1" selected="0">
            <x v="2"/>
          </reference>
        </references>
      </pivotArea>
    </chartFormat>
    <chartFormat chart="12" format="20">
      <pivotArea type="data" outline="0" fieldPosition="0">
        <references count="2">
          <reference field="4294967294" count="1" selected="0">
            <x v="0"/>
          </reference>
          <reference field="12" count="1" selected="0">
            <x v="3"/>
          </reference>
        </references>
      </pivotArea>
    </chartFormat>
    <chartFormat chart="12" format="21">
      <pivotArea type="data" outline="0" fieldPosition="0">
        <references count="2">
          <reference field="4294967294" count="1" selected="0">
            <x v="0"/>
          </reference>
          <reference field="12" count="1" selected="0">
            <x v="4"/>
          </reference>
        </references>
      </pivotArea>
    </chartFormat>
    <chartFormat chart="12" format="22">
      <pivotArea type="data" outline="0" fieldPosition="0">
        <references count="2">
          <reference field="4294967294" count="1" selected="0">
            <x v="0"/>
          </reference>
          <reference field="12" count="1" selected="0">
            <x v="5"/>
          </reference>
        </references>
      </pivotArea>
    </chartFormat>
    <chartFormat chart="12" format="23" series="1">
      <pivotArea type="data" outline="0" fieldPosition="0">
        <references count="1">
          <reference field="4294967294" count="1" selected="0">
            <x v="1"/>
          </reference>
        </references>
      </pivotArea>
    </chartFormat>
    <chartFormat chart="12" format="24">
      <pivotArea type="data" outline="0" fieldPosition="0">
        <references count="2">
          <reference field="4294967294" count="1" selected="0">
            <x v="1"/>
          </reference>
          <reference field="12" count="1" selected="0">
            <x v="0"/>
          </reference>
        </references>
      </pivotArea>
    </chartFormat>
    <chartFormat chart="12" format="25">
      <pivotArea type="data" outline="0" fieldPosition="0">
        <references count="2">
          <reference field="4294967294" count="1" selected="0">
            <x v="1"/>
          </reference>
          <reference field="12" count="1" selected="0">
            <x v="1"/>
          </reference>
        </references>
      </pivotArea>
    </chartFormat>
    <chartFormat chart="12" format="26">
      <pivotArea type="data" outline="0" fieldPosition="0">
        <references count="2">
          <reference field="4294967294" count="1" selected="0">
            <x v="1"/>
          </reference>
          <reference field="12" count="1" selected="0">
            <x v="2"/>
          </reference>
        </references>
      </pivotArea>
    </chartFormat>
    <chartFormat chart="12" format="27">
      <pivotArea type="data" outline="0" fieldPosition="0">
        <references count="2">
          <reference field="4294967294" count="1" selected="0">
            <x v="1"/>
          </reference>
          <reference field="12" count="1" selected="0">
            <x v="3"/>
          </reference>
        </references>
      </pivotArea>
    </chartFormat>
    <chartFormat chart="12" format="28">
      <pivotArea type="data" outline="0" fieldPosition="0">
        <references count="2">
          <reference field="4294967294" count="1" selected="0">
            <x v="1"/>
          </reference>
          <reference field="12" count="1" selected="0">
            <x v="4"/>
          </reference>
        </references>
      </pivotArea>
    </chartFormat>
    <chartFormat chart="12" format="29">
      <pivotArea type="data" outline="0" fieldPosition="0">
        <references count="2">
          <reference field="4294967294" count="1" selected="0">
            <x v="1"/>
          </reference>
          <reference field="12" count="1" selected="0">
            <x v="5"/>
          </reference>
        </references>
      </pivotArea>
    </chartFormat>
    <chartFormat chart="14" format="44" series="1">
      <pivotArea type="data" outline="0" fieldPosition="0">
        <references count="1">
          <reference field="4294967294" count="1" selected="0">
            <x v="0"/>
          </reference>
        </references>
      </pivotArea>
    </chartFormat>
    <chartFormat chart="14" format="45">
      <pivotArea type="data" outline="0" fieldPosition="0">
        <references count="2">
          <reference field="4294967294" count="1" selected="0">
            <x v="0"/>
          </reference>
          <reference field="12" count="1" selected="0">
            <x v="0"/>
          </reference>
        </references>
      </pivotArea>
    </chartFormat>
    <chartFormat chart="14" format="46">
      <pivotArea type="data" outline="0" fieldPosition="0">
        <references count="2">
          <reference field="4294967294" count="1" selected="0">
            <x v="0"/>
          </reference>
          <reference field="12" count="1" selected="0">
            <x v="1"/>
          </reference>
        </references>
      </pivotArea>
    </chartFormat>
    <chartFormat chart="14" format="47">
      <pivotArea type="data" outline="0" fieldPosition="0">
        <references count="2">
          <reference field="4294967294" count="1" selected="0">
            <x v="0"/>
          </reference>
          <reference field="12" count="1" selected="0">
            <x v="2"/>
          </reference>
        </references>
      </pivotArea>
    </chartFormat>
    <chartFormat chart="14" format="48">
      <pivotArea type="data" outline="0" fieldPosition="0">
        <references count="2">
          <reference field="4294967294" count="1" selected="0">
            <x v="0"/>
          </reference>
          <reference field="12" count="1" selected="0">
            <x v="3"/>
          </reference>
        </references>
      </pivotArea>
    </chartFormat>
    <chartFormat chart="14" format="49">
      <pivotArea type="data" outline="0" fieldPosition="0">
        <references count="2">
          <reference field="4294967294" count="1" selected="0">
            <x v="0"/>
          </reference>
          <reference field="12" count="1" selected="0">
            <x v="4"/>
          </reference>
        </references>
      </pivotArea>
    </chartFormat>
    <chartFormat chart="14" format="50">
      <pivotArea type="data" outline="0" fieldPosition="0">
        <references count="2">
          <reference field="4294967294" count="1" selected="0">
            <x v="0"/>
          </reference>
          <reference field="12" count="1" selected="0">
            <x v="5"/>
          </reference>
        </references>
      </pivotArea>
    </chartFormat>
    <chartFormat chart="14" format="51" series="1">
      <pivotArea type="data" outline="0" fieldPosition="0">
        <references count="1">
          <reference field="4294967294" count="1" selected="0">
            <x v="1"/>
          </reference>
        </references>
      </pivotArea>
    </chartFormat>
    <chartFormat chart="14" format="52">
      <pivotArea type="data" outline="0" fieldPosition="0">
        <references count="2">
          <reference field="4294967294" count="1" selected="0">
            <x v="1"/>
          </reference>
          <reference field="12" count="1" selected="0">
            <x v="0"/>
          </reference>
        </references>
      </pivotArea>
    </chartFormat>
    <chartFormat chart="14" format="53">
      <pivotArea type="data" outline="0" fieldPosition="0">
        <references count="2">
          <reference field="4294967294" count="1" selected="0">
            <x v="1"/>
          </reference>
          <reference field="12" count="1" selected="0">
            <x v="1"/>
          </reference>
        </references>
      </pivotArea>
    </chartFormat>
    <chartFormat chart="14" format="54">
      <pivotArea type="data" outline="0" fieldPosition="0">
        <references count="2">
          <reference field="4294967294" count="1" selected="0">
            <x v="1"/>
          </reference>
          <reference field="12" count="1" selected="0">
            <x v="2"/>
          </reference>
        </references>
      </pivotArea>
    </chartFormat>
    <chartFormat chart="14" format="55">
      <pivotArea type="data" outline="0" fieldPosition="0">
        <references count="2">
          <reference field="4294967294" count="1" selected="0">
            <x v="1"/>
          </reference>
          <reference field="12" count="1" selected="0">
            <x v="3"/>
          </reference>
        </references>
      </pivotArea>
    </chartFormat>
    <chartFormat chart="14" format="56">
      <pivotArea type="data" outline="0" fieldPosition="0">
        <references count="2">
          <reference field="4294967294" count="1" selected="0">
            <x v="1"/>
          </reference>
          <reference field="12" count="1" selected="0">
            <x v="4"/>
          </reference>
        </references>
      </pivotArea>
    </chartFormat>
    <chartFormat chart="14" format="57">
      <pivotArea type="data" outline="0" fieldPosition="0">
        <references count="2">
          <reference field="4294967294" count="1" selected="0">
            <x v="1"/>
          </reference>
          <reference field="12" count="1" selected="0">
            <x v="5"/>
          </reference>
        </references>
      </pivotArea>
    </chartFormat>
    <chartFormat chart="15" format="58" series="1">
      <pivotArea type="data" outline="0" fieldPosition="0">
        <references count="1">
          <reference field="4294967294" count="1" selected="0">
            <x v="0"/>
          </reference>
        </references>
      </pivotArea>
    </chartFormat>
    <chartFormat chart="15" format="59">
      <pivotArea type="data" outline="0" fieldPosition="0">
        <references count="2">
          <reference field="4294967294" count="1" selected="0">
            <x v="0"/>
          </reference>
          <reference field="12" count="1" selected="0">
            <x v="0"/>
          </reference>
        </references>
      </pivotArea>
    </chartFormat>
    <chartFormat chart="15" format="60">
      <pivotArea type="data" outline="0" fieldPosition="0">
        <references count="2">
          <reference field="4294967294" count="1" selected="0">
            <x v="0"/>
          </reference>
          <reference field="12" count="1" selected="0">
            <x v="1"/>
          </reference>
        </references>
      </pivotArea>
    </chartFormat>
    <chartFormat chart="15" format="61">
      <pivotArea type="data" outline="0" fieldPosition="0">
        <references count="2">
          <reference field="4294967294" count="1" selected="0">
            <x v="0"/>
          </reference>
          <reference field="12" count="1" selected="0">
            <x v="2"/>
          </reference>
        </references>
      </pivotArea>
    </chartFormat>
    <chartFormat chart="15" format="62">
      <pivotArea type="data" outline="0" fieldPosition="0">
        <references count="2">
          <reference field="4294967294" count="1" selected="0">
            <x v="0"/>
          </reference>
          <reference field="12" count="1" selected="0">
            <x v="3"/>
          </reference>
        </references>
      </pivotArea>
    </chartFormat>
    <chartFormat chart="15" format="63">
      <pivotArea type="data" outline="0" fieldPosition="0">
        <references count="2">
          <reference field="4294967294" count="1" selected="0">
            <x v="0"/>
          </reference>
          <reference field="12" count="1" selected="0">
            <x v="4"/>
          </reference>
        </references>
      </pivotArea>
    </chartFormat>
    <chartFormat chart="15" format="64">
      <pivotArea type="data" outline="0" fieldPosition="0">
        <references count="2">
          <reference field="4294967294" count="1" selected="0">
            <x v="0"/>
          </reference>
          <reference field="12" count="1" selected="0">
            <x v="5"/>
          </reference>
        </references>
      </pivotArea>
    </chartFormat>
    <chartFormat chart="15" format="65" series="1">
      <pivotArea type="data" outline="0" fieldPosition="0">
        <references count="1">
          <reference field="4294967294" count="1" selected="0">
            <x v="1"/>
          </reference>
        </references>
      </pivotArea>
    </chartFormat>
    <chartFormat chart="15" format="66">
      <pivotArea type="data" outline="0" fieldPosition="0">
        <references count="2">
          <reference field="4294967294" count="1" selected="0">
            <x v="1"/>
          </reference>
          <reference field="12" count="1" selected="0">
            <x v="0"/>
          </reference>
        </references>
      </pivotArea>
    </chartFormat>
    <chartFormat chart="15" format="67">
      <pivotArea type="data" outline="0" fieldPosition="0">
        <references count="2">
          <reference field="4294967294" count="1" selected="0">
            <x v="1"/>
          </reference>
          <reference field="12" count="1" selected="0">
            <x v="1"/>
          </reference>
        </references>
      </pivotArea>
    </chartFormat>
    <chartFormat chart="15" format="68">
      <pivotArea type="data" outline="0" fieldPosition="0">
        <references count="2">
          <reference field="4294967294" count="1" selected="0">
            <x v="1"/>
          </reference>
          <reference field="12" count="1" selected="0">
            <x v="2"/>
          </reference>
        </references>
      </pivotArea>
    </chartFormat>
    <chartFormat chart="15" format="69">
      <pivotArea type="data" outline="0" fieldPosition="0">
        <references count="2">
          <reference field="4294967294" count="1" selected="0">
            <x v="1"/>
          </reference>
          <reference field="12" count="1" selected="0">
            <x v="3"/>
          </reference>
        </references>
      </pivotArea>
    </chartFormat>
    <chartFormat chart="15" format="70">
      <pivotArea type="data" outline="0" fieldPosition="0">
        <references count="2">
          <reference field="4294967294" count="1" selected="0">
            <x v="1"/>
          </reference>
          <reference field="12" count="1" selected="0">
            <x v="4"/>
          </reference>
        </references>
      </pivotArea>
    </chartFormat>
    <chartFormat chart="15" format="71">
      <pivotArea type="data" outline="0" fieldPosition="0">
        <references count="2">
          <reference field="4294967294" count="1" selected="0">
            <x v="1"/>
          </reference>
          <reference field="12" count="1" selected="0">
            <x v="5"/>
          </reference>
        </references>
      </pivotArea>
    </chartFormat>
    <chartFormat chart="16" format="72" series="1">
      <pivotArea type="data" outline="0" fieldPosition="0">
        <references count="1">
          <reference field="4294967294" count="1" selected="0">
            <x v="0"/>
          </reference>
        </references>
      </pivotArea>
    </chartFormat>
    <chartFormat chart="16" format="73">
      <pivotArea type="data" outline="0" fieldPosition="0">
        <references count="2">
          <reference field="4294967294" count="1" selected="0">
            <x v="0"/>
          </reference>
          <reference field="12" count="1" selected="0">
            <x v="0"/>
          </reference>
        </references>
      </pivotArea>
    </chartFormat>
    <chartFormat chart="16" format="74">
      <pivotArea type="data" outline="0" fieldPosition="0">
        <references count="2">
          <reference field="4294967294" count="1" selected="0">
            <x v="0"/>
          </reference>
          <reference field="12" count="1" selected="0">
            <x v="1"/>
          </reference>
        </references>
      </pivotArea>
    </chartFormat>
    <chartFormat chart="16" format="75">
      <pivotArea type="data" outline="0" fieldPosition="0">
        <references count="2">
          <reference field="4294967294" count="1" selected="0">
            <x v="0"/>
          </reference>
          <reference field="12" count="1" selected="0">
            <x v="2"/>
          </reference>
        </references>
      </pivotArea>
    </chartFormat>
    <chartFormat chart="16" format="76">
      <pivotArea type="data" outline="0" fieldPosition="0">
        <references count="2">
          <reference field="4294967294" count="1" selected="0">
            <x v="0"/>
          </reference>
          <reference field="12" count="1" selected="0">
            <x v="3"/>
          </reference>
        </references>
      </pivotArea>
    </chartFormat>
    <chartFormat chart="16" format="77">
      <pivotArea type="data" outline="0" fieldPosition="0">
        <references count="2">
          <reference field="4294967294" count="1" selected="0">
            <x v="0"/>
          </reference>
          <reference field="12" count="1" selected="0">
            <x v="4"/>
          </reference>
        </references>
      </pivotArea>
    </chartFormat>
    <chartFormat chart="16" format="78">
      <pivotArea type="data" outline="0" fieldPosition="0">
        <references count="2">
          <reference field="4294967294" count="1" selected="0">
            <x v="0"/>
          </reference>
          <reference field="12" count="1" selected="0">
            <x v="5"/>
          </reference>
        </references>
      </pivotArea>
    </chartFormat>
    <chartFormat chart="16" format="79" series="1">
      <pivotArea type="data" outline="0" fieldPosition="0">
        <references count="1">
          <reference field="4294967294" count="1" selected="0">
            <x v="1"/>
          </reference>
        </references>
      </pivotArea>
    </chartFormat>
    <chartFormat chart="16" format="80">
      <pivotArea type="data" outline="0" fieldPosition="0">
        <references count="2">
          <reference field="4294967294" count="1" selected="0">
            <x v="1"/>
          </reference>
          <reference field="12" count="1" selected="0">
            <x v="0"/>
          </reference>
        </references>
      </pivotArea>
    </chartFormat>
    <chartFormat chart="16" format="81">
      <pivotArea type="data" outline="0" fieldPosition="0">
        <references count="2">
          <reference field="4294967294" count="1" selected="0">
            <x v="1"/>
          </reference>
          <reference field="12" count="1" selected="0">
            <x v="1"/>
          </reference>
        </references>
      </pivotArea>
    </chartFormat>
    <chartFormat chart="16" format="82">
      <pivotArea type="data" outline="0" fieldPosition="0">
        <references count="2">
          <reference field="4294967294" count="1" selected="0">
            <x v="1"/>
          </reference>
          <reference field="12" count="1" selected="0">
            <x v="2"/>
          </reference>
        </references>
      </pivotArea>
    </chartFormat>
    <chartFormat chart="16" format="83">
      <pivotArea type="data" outline="0" fieldPosition="0">
        <references count="2">
          <reference field="4294967294" count="1" selected="0">
            <x v="1"/>
          </reference>
          <reference field="12" count="1" selected="0">
            <x v="3"/>
          </reference>
        </references>
      </pivotArea>
    </chartFormat>
    <chartFormat chart="16" format="84">
      <pivotArea type="data" outline="0" fieldPosition="0">
        <references count="2">
          <reference field="4294967294" count="1" selected="0">
            <x v="1"/>
          </reference>
          <reference field="12" count="1" selected="0">
            <x v="4"/>
          </reference>
        </references>
      </pivotArea>
    </chartFormat>
    <chartFormat chart="16" format="85">
      <pivotArea type="data" outline="0" fieldPosition="0">
        <references count="2">
          <reference field="4294967294" count="1" selected="0">
            <x v="1"/>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ing_Price_Per_Unit" xr10:uid="{BD0196A5-66F9-4ED3-BE3F-1C78CB9D3F2A}" sourceName="Selling Price(Per Unit)-">
  <pivotTables>
    <pivotTable tabId="7" name="PivotTable16"/>
    <pivotTable tabId="7" name="PivotTable10"/>
    <pivotTable tabId="7" name="PivotTable11"/>
    <pivotTable tabId="7" name="PivotTable12"/>
    <pivotTable tabId="7" name="PivotTable14"/>
    <pivotTable tabId="7" name="PivotTable15"/>
    <pivotTable tabId="7" name="PivotTable9"/>
  </pivotTables>
  <data>
    <tabular pivotCacheId="92044215">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Sold" xr10:uid="{52D7F925-60EB-45F5-8B32-E2AD25A291E0}" sourceName="Unit Sold ">
  <pivotTables>
    <pivotTable tabId="7" name="PivotTable16"/>
    <pivotTable tabId="7" name="PivotTable10"/>
    <pivotTable tabId="7" name="PivotTable11"/>
    <pivotTable tabId="7" name="PivotTable12"/>
    <pivotTable tabId="7" name="PivotTable14"/>
    <pivotTable tabId="7" name="PivotTable15"/>
    <pivotTable tabId="7" name="PivotTable9"/>
  </pivotTables>
  <data>
    <tabular pivotCacheId="9204421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After_Tax" xr10:uid="{47E988C0-6BA1-462B-A64A-ACC5CD4298B1}" sourceName="Profit After Tax">
  <pivotTables>
    <pivotTable tabId="7" name="PivotTable16"/>
    <pivotTable tabId="7" name="PivotTable10"/>
    <pivotTable tabId="7" name="PivotTable11"/>
    <pivotTable tabId="7" name="PivotTable12"/>
    <pivotTable tabId="7" name="PivotTable14"/>
    <pivotTable tabId="7" name="PivotTable15"/>
    <pivotTable tabId="7" name="PivotTable9"/>
  </pivotTables>
  <data>
    <tabular pivotCacheId="92044215">
      <items count="5">
        <i x="3" s="1"/>
        <i x="2"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xed_Cost" xr10:uid="{CB9AD26D-B962-4D68-8247-ABBB376ECB09}" sourceName="Fixed Cost">
  <pivotTables>
    <pivotTable tabId="7" name="PivotTable16"/>
    <pivotTable tabId="7" name="PivotTable10"/>
    <pivotTable tabId="7" name="PivotTable11"/>
    <pivotTable tabId="7" name="PivotTable12"/>
    <pivotTable tabId="7" name="PivotTable14"/>
    <pivotTable tabId="7" name="PivotTable15"/>
    <pivotTable tabId="7" name="PivotTable9"/>
  </pivotTables>
  <data>
    <tabular pivotCacheId="920442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ing Price(Per Unit)-" xr10:uid="{5DA06892-0257-4CB7-8470-69C909E95E09}" cache="Slicer_Selling_Price_Per_Unit" caption="Selling Price(Per Unit)-" rowHeight="234950"/>
  <slicer name="Unit Sold " xr10:uid="{A941B6BD-1125-4862-AA82-4CEA1DE92B51}" cache="Slicer_Unit_Sold" caption="Unit Sold " rowHeight="234950"/>
  <slicer name="Profit After Tax" xr10:uid="{AC2DE0A5-227F-47F1-85FF-4829111BB510}" cache="Slicer_Profit_After_Tax" caption="Profit After Tax" rowHeight="234950"/>
  <slicer name="Fixed Cost" xr10:uid="{3D60FF48-8AC8-4480-AEE2-3268A81F54B6}" cache="Slicer_Fixed_Cost" caption="Fixed Cos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3ECC-9EAB-44EC-B324-25E236AE6C25}">
  <dimension ref="A1:Z48"/>
  <sheetViews>
    <sheetView tabSelected="1" topLeftCell="B1" workbookViewId="0">
      <selection activeCell="B35" sqref="B35"/>
    </sheetView>
  </sheetViews>
  <sheetFormatPr defaultRowHeight="14.4" x14ac:dyDescent="0.3"/>
  <sheetData>
    <row r="1" spans="1:26"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x14ac:dyDescent="0.3">
      <c r="A5" s="9"/>
      <c r="B5" s="9"/>
      <c r="C5" s="9"/>
      <c r="D5" s="9"/>
      <c r="E5" s="9"/>
      <c r="F5" s="9"/>
      <c r="G5" s="9"/>
      <c r="H5" s="9"/>
      <c r="I5" s="9"/>
      <c r="J5" s="9"/>
      <c r="K5" s="9"/>
      <c r="L5" s="9"/>
      <c r="M5" s="9"/>
      <c r="N5" s="9"/>
      <c r="O5" s="9"/>
      <c r="P5" s="9"/>
      <c r="Q5" s="9"/>
      <c r="R5" s="9"/>
      <c r="S5" s="9"/>
      <c r="T5" s="9"/>
      <c r="U5" s="9"/>
      <c r="V5" s="9"/>
      <c r="W5" s="9"/>
      <c r="X5" s="9"/>
      <c r="Y5" s="9"/>
      <c r="Z5" s="9"/>
    </row>
    <row r="6" spans="1:26"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9"/>
      <c r="F7" s="9"/>
      <c r="G7" s="9"/>
      <c r="H7" s="9"/>
      <c r="I7" s="9"/>
      <c r="J7" s="9"/>
      <c r="K7" s="9"/>
      <c r="L7" s="9"/>
      <c r="M7" s="9"/>
      <c r="N7" s="9"/>
      <c r="O7" s="9"/>
      <c r="P7" s="9"/>
      <c r="Q7" s="9"/>
      <c r="R7" s="9"/>
      <c r="S7" s="9"/>
      <c r="T7" s="9"/>
      <c r="U7" s="9"/>
      <c r="V7" s="9"/>
      <c r="W7" s="9"/>
      <c r="X7" s="9"/>
      <c r="Y7" s="9"/>
      <c r="Z7" s="9"/>
    </row>
    <row r="8" spans="1:26" x14ac:dyDescent="0.3">
      <c r="A8" s="9"/>
      <c r="B8" s="9"/>
      <c r="C8" s="9"/>
      <c r="D8" s="9"/>
      <c r="E8" s="9"/>
      <c r="F8" s="9"/>
      <c r="G8" s="9"/>
      <c r="H8" s="9"/>
      <c r="I8" s="9"/>
      <c r="J8" s="9"/>
      <c r="K8" s="9"/>
      <c r="L8" s="9"/>
      <c r="M8" s="9"/>
      <c r="N8" s="9"/>
      <c r="O8" s="9"/>
      <c r="P8" s="9"/>
      <c r="Q8" s="9"/>
      <c r="R8" s="9"/>
      <c r="S8" s="9"/>
      <c r="T8" s="9"/>
      <c r="U8" s="9"/>
      <c r="V8" s="9"/>
      <c r="W8" s="9"/>
      <c r="X8" s="9"/>
      <c r="Y8" s="9"/>
      <c r="Z8" s="9"/>
    </row>
    <row r="9" spans="1:26" x14ac:dyDescent="0.3">
      <c r="A9" s="9"/>
      <c r="B9" s="9"/>
      <c r="C9" s="9"/>
      <c r="D9" s="9"/>
      <c r="E9" s="9"/>
      <c r="F9" s="9"/>
      <c r="G9" s="9"/>
      <c r="H9" s="9"/>
      <c r="I9" s="9"/>
      <c r="J9" s="9"/>
      <c r="K9" s="9"/>
      <c r="L9" s="9"/>
      <c r="M9" s="9"/>
      <c r="N9" s="9"/>
      <c r="O9" s="9"/>
      <c r="P9" s="9"/>
      <c r="Q9" s="9"/>
      <c r="R9" s="9"/>
      <c r="S9" s="9"/>
      <c r="T9" s="9"/>
      <c r="U9" s="9"/>
      <c r="V9" s="9"/>
      <c r="W9" s="9"/>
      <c r="X9" s="9"/>
      <c r="Y9" s="9"/>
      <c r="Z9" s="9"/>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2B6F-B3AE-4E03-9163-5E55CECAEC42}">
  <dimension ref="A3:I26"/>
  <sheetViews>
    <sheetView topLeftCell="A2" workbookViewId="0">
      <selection activeCell="D20" sqref="D20:E24"/>
    </sheetView>
  </sheetViews>
  <sheetFormatPr defaultRowHeight="14.4" x14ac:dyDescent="0.3"/>
  <cols>
    <col min="1" max="1" width="12.5546875" bestFit="1" customWidth="1"/>
    <col min="2" max="2" width="15.6640625" bestFit="1" customWidth="1"/>
    <col min="3" max="3" width="20.33203125" bestFit="1" customWidth="1"/>
    <col min="4" max="4" width="12.5546875" bestFit="1" customWidth="1"/>
    <col min="5" max="5" width="20.33203125" bestFit="1" customWidth="1"/>
    <col min="6" max="7" width="30" bestFit="1" customWidth="1"/>
    <col min="8" max="8" width="29.6640625" bestFit="1" customWidth="1"/>
    <col min="9" max="9" width="20.33203125" bestFit="1" customWidth="1"/>
  </cols>
  <sheetData>
    <row r="3" spans="1:9" x14ac:dyDescent="0.3">
      <c r="A3" s="7" t="s">
        <v>17</v>
      </c>
      <c r="B3" t="s">
        <v>21</v>
      </c>
      <c r="D3" s="7" t="s">
        <v>17</v>
      </c>
      <c r="E3" t="s">
        <v>21</v>
      </c>
      <c r="F3" t="s">
        <v>14</v>
      </c>
      <c r="G3" t="s">
        <v>20</v>
      </c>
      <c r="H3" t="s">
        <v>15</v>
      </c>
      <c r="I3" t="s">
        <v>16</v>
      </c>
    </row>
    <row r="4" spans="1:9" x14ac:dyDescent="0.3">
      <c r="A4" s="8">
        <v>10000</v>
      </c>
      <c r="B4" s="10">
        <v>14000</v>
      </c>
      <c r="D4" s="8">
        <v>10000</v>
      </c>
      <c r="E4" s="10">
        <v>14000</v>
      </c>
      <c r="F4" s="10">
        <v>95</v>
      </c>
      <c r="G4" s="10">
        <v>15</v>
      </c>
      <c r="H4" s="10">
        <v>42500</v>
      </c>
      <c r="I4" s="10">
        <v>34000</v>
      </c>
    </row>
    <row r="5" spans="1:9" x14ac:dyDescent="0.3">
      <c r="A5" s="8">
        <v>15000</v>
      </c>
      <c r="B5" s="10">
        <v>5000</v>
      </c>
      <c r="D5" s="8">
        <v>15000</v>
      </c>
      <c r="E5" s="10">
        <v>5000</v>
      </c>
      <c r="F5" s="10">
        <v>30</v>
      </c>
      <c r="G5" s="10">
        <v>5</v>
      </c>
      <c r="H5" s="10">
        <v>11000</v>
      </c>
      <c r="I5" s="10">
        <v>8800</v>
      </c>
    </row>
    <row r="6" spans="1:9" x14ac:dyDescent="0.3">
      <c r="A6" s="8" t="s">
        <v>18</v>
      </c>
      <c r="B6" s="10"/>
      <c r="D6" s="8" t="s">
        <v>18</v>
      </c>
      <c r="E6" s="10"/>
      <c r="F6" s="10"/>
      <c r="G6" s="10">
        <v>0</v>
      </c>
      <c r="H6" s="10">
        <v>0</v>
      </c>
      <c r="I6" s="10">
        <v>0</v>
      </c>
    </row>
    <row r="7" spans="1:9" x14ac:dyDescent="0.3">
      <c r="A7" s="8" t="s">
        <v>19</v>
      </c>
      <c r="B7" s="10">
        <v>19000</v>
      </c>
      <c r="D7" s="8" t="s">
        <v>19</v>
      </c>
      <c r="E7" s="10">
        <v>19000</v>
      </c>
      <c r="F7" s="10">
        <v>125</v>
      </c>
      <c r="G7" s="10">
        <v>20</v>
      </c>
      <c r="H7" s="10">
        <v>53500</v>
      </c>
      <c r="I7" s="10">
        <v>42800</v>
      </c>
    </row>
    <row r="10" spans="1:9" x14ac:dyDescent="0.3">
      <c r="A10" s="7" t="s">
        <v>17</v>
      </c>
      <c r="B10" t="s">
        <v>21</v>
      </c>
      <c r="D10" s="7" t="s">
        <v>17</v>
      </c>
      <c r="E10" t="s">
        <v>16</v>
      </c>
      <c r="F10" t="s">
        <v>20</v>
      </c>
    </row>
    <row r="11" spans="1:9" x14ac:dyDescent="0.3">
      <c r="A11" s="8">
        <v>0</v>
      </c>
      <c r="B11" s="10"/>
      <c r="D11" s="8">
        <v>0</v>
      </c>
      <c r="E11" s="10">
        <v>12800</v>
      </c>
      <c r="F11" s="10">
        <v>5</v>
      </c>
    </row>
    <row r="12" spans="1:9" x14ac:dyDescent="0.3">
      <c r="A12" s="8">
        <v>5</v>
      </c>
      <c r="B12" s="10">
        <v>19000</v>
      </c>
      <c r="D12" s="8">
        <v>0.99983666666666671</v>
      </c>
      <c r="E12" s="10">
        <v>12800</v>
      </c>
      <c r="F12" s="10">
        <v>5</v>
      </c>
    </row>
    <row r="13" spans="1:9" x14ac:dyDescent="0.3">
      <c r="A13" s="8" t="s">
        <v>18</v>
      </c>
      <c r="B13" s="10"/>
      <c r="D13" s="8">
        <v>0.99992083333333337</v>
      </c>
      <c r="E13" s="10">
        <v>8400</v>
      </c>
      <c r="F13" s="10">
        <v>5</v>
      </c>
    </row>
    <row r="14" spans="1:9" x14ac:dyDescent="0.3">
      <c r="A14" s="8" t="s">
        <v>19</v>
      </c>
      <c r="B14" s="10">
        <v>19000</v>
      </c>
      <c r="D14" s="8">
        <v>0.9999366666666667</v>
      </c>
      <c r="E14" s="10">
        <v>8800</v>
      </c>
      <c r="F14" s="10">
        <v>5</v>
      </c>
    </row>
    <row r="15" spans="1:9" x14ac:dyDescent="0.3">
      <c r="D15" s="8" t="s">
        <v>22</v>
      </c>
      <c r="E15" s="10">
        <v>0</v>
      </c>
      <c r="F15" s="10">
        <v>0</v>
      </c>
    </row>
    <row r="16" spans="1:9" x14ac:dyDescent="0.3">
      <c r="D16" s="8" t="s">
        <v>18</v>
      </c>
      <c r="E16" s="10">
        <v>0</v>
      </c>
      <c r="F16" s="10">
        <v>0</v>
      </c>
    </row>
    <row r="17" spans="1:6" x14ac:dyDescent="0.3">
      <c r="A17" t="s">
        <v>21</v>
      </c>
      <c r="B17" t="s">
        <v>20</v>
      </c>
      <c r="D17" s="8" t="s">
        <v>19</v>
      </c>
      <c r="E17" s="10">
        <v>42800</v>
      </c>
      <c r="F17" s="10">
        <v>20</v>
      </c>
    </row>
    <row r="18" spans="1:6" x14ac:dyDescent="0.3">
      <c r="A18" s="10">
        <v>19000</v>
      </c>
      <c r="B18" s="10">
        <v>20</v>
      </c>
    </row>
    <row r="20" spans="1:6" x14ac:dyDescent="0.3">
      <c r="A20" s="7" t="s">
        <v>17</v>
      </c>
      <c r="B20" t="s">
        <v>20</v>
      </c>
      <c r="D20" s="7" t="s">
        <v>17</v>
      </c>
      <c r="E20" t="s">
        <v>23</v>
      </c>
    </row>
    <row r="21" spans="1:6" x14ac:dyDescent="0.3">
      <c r="A21" s="8">
        <v>0</v>
      </c>
      <c r="B21" s="10">
        <v>0</v>
      </c>
      <c r="D21" s="8">
        <v>0</v>
      </c>
      <c r="E21" s="10"/>
    </row>
    <row r="22" spans="1:6" x14ac:dyDescent="0.3">
      <c r="A22" s="8">
        <v>8400</v>
      </c>
      <c r="B22" s="10">
        <v>5</v>
      </c>
      <c r="D22" s="8">
        <v>8400</v>
      </c>
      <c r="E22" s="10">
        <v>0.2</v>
      </c>
    </row>
    <row r="23" spans="1:6" x14ac:dyDescent="0.3">
      <c r="A23" s="8">
        <v>8800</v>
      </c>
      <c r="B23" s="10">
        <v>5</v>
      </c>
      <c r="D23" s="8">
        <v>8800</v>
      </c>
      <c r="E23" s="10">
        <v>0.2</v>
      </c>
    </row>
    <row r="24" spans="1:6" x14ac:dyDescent="0.3">
      <c r="A24" s="8">
        <v>12800</v>
      </c>
      <c r="B24" s="10">
        <v>10</v>
      </c>
      <c r="D24" s="8">
        <v>12800</v>
      </c>
      <c r="E24" s="10">
        <v>0.4</v>
      </c>
    </row>
    <row r="25" spans="1:6" x14ac:dyDescent="0.3">
      <c r="A25" s="8" t="s">
        <v>18</v>
      </c>
      <c r="B25" s="10"/>
      <c r="D25" s="8" t="s">
        <v>18</v>
      </c>
      <c r="E25" s="10"/>
    </row>
    <row r="26" spans="1:6" x14ac:dyDescent="0.3">
      <c r="A26" s="8" t="s">
        <v>19</v>
      </c>
      <c r="B26" s="10">
        <v>20</v>
      </c>
      <c r="D26" s="8" t="s">
        <v>19</v>
      </c>
      <c r="E26" s="10">
        <v>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6FCC-6CCD-43FF-8750-4CFF83AC02EE}">
  <dimension ref="A1:O36"/>
  <sheetViews>
    <sheetView topLeftCell="D1" workbookViewId="0">
      <selection activeCell="L12" sqref="L12"/>
    </sheetView>
  </sheetViews>
  <sheetFormatPr defaultRowHeight="14.4" x14ac:dyDescent="0.3"/>
  <cols>
    <col min="1" max="19" width="15.77734375" customWidth="1"/>
  </cols>
  <sheetData>
    <row r="1" spans="1:15" ht="27.6" thickBot="1" x14ac:dyDescent="0.35">
      <c r="A1" s="3" t="s">
        <v>6</v>
      </c>
      <c r="B1" s="3" t="s">
        <v>8</v>
      </c>
      <c r="C1" s="3" t="s">
        <v>4</v>
      </c>
      <c r="D1" s="3" t="s">
        <v>2</v>
      </c>
      <c r="E1" s="3" t="s">
        <v>9</v>
      </c>
      <c r="F1" s="3" t="s">
        <v>10</v>
      </c>
      <c r="G1" s="5" t="s">
        <v>11</v>
      </c>
      <c r="H1" s="5" t="s">
        <v>0</v>
      </c>
      <c r="I1" s="5" t="s">
        <v>12</v>
      </c>
      <c r="J1" s="5" t="s">
        <v>3</v>
      </c>
      <c r="K1" s="5" t="s">
        <v>7</v>
      </c>
      <c r="L1" s="5" t="s">
        <v>5</v>
      </c>
      <c r="M1" s="5" t="s">
        <v>1</v>
      </c>
      <c r="O1" s="6" t="s">
        <v>13</v>
      </c>
    </row>
    <row r="2" spans="1:15" ht="15" thickBot="1" x14ac:dyDescent="0.35">
      <c r="A2" s="4">
        <v>15</v>
      </c>
      <c r="B2" s="4">
        <v>30</v>
      </c>
      <c r="C2" s="4">
        <f>B2-A2</f>
        <v>15</v>
      </c>
      <c r="D2" s="4">
        <f>B2*A2%</f>
        <v>4.5</v>
      </c>
      <c r="E2" s="4">
        <f>1/3*C2</f>
        <v>5</v>
      </c>
      <c r="F2" s="4">
        <f>C2-D2-E2</f>
        <v>5.5</v>
      </c>
      <c r="G2">
        <f>(F2*I2)-L2-K2</f>
        <v>16000</v>
      </c>
      <c r="H2">
        <f>G2*(1-J2)</f>
        <v>12800</v>
      </c>
      <c r="I2">
        <v>5000</v>
      </c>
      <c r="J2" s="2">
        <v>0.2</v>
      </c>
      <c r="K2">
        <v>1500</v>
      </c>
      <c r="L2">
        <v>10000</v>
      </c>
      <c r="M2">
        <f>IF(H1&gt;0, (O2 - A2 - D2-E2)/O2, 0)</f>
        <v>0.99983666666666671</v>
      </c>
      <c r="O2" cm="1">
        <f t="array" ref="O2:O36">B2*I2:I36</f>
        <v>150000</v>
      </c>
    </row>
    <row r="3" spans="1:15" ht="15" thickBot="1" x14ac:dyDescent="0.35">
      <c r="A3" s="1"/>
      <c r="B3" s="1">
        <v>30</v>
      </c>
      <c r="C3" s="1">
        <v>15</v>
      </c>
      <c r="D3" s="1">
        <v>4.5</v>
      </c>
      <c r="E3" s="4">
        <f t="shared" ref="E3:E21" si="0">1/3*C3</f>
        <v>5</v>
      </c>
      <c r="F3" s="1">
        <v>5.5</v>
      </c>
      <c r="G3">
        <f>(F3*I3)-K3-L3</f>
        <v>11000</v>
      </c>
      <c r="H3">
        <f t="shared" ref="H3:H25" si="1">G3*(1-J3)</f>
        <v>8800</v>
      </c>
      <c r="I3">
        <v>5000</v>
      </c>
      <c r="J3" s="2">
        <v>0.2</v>
      </c>
      <c r="K3">
        <v>1500</v>
      </c>
      <c r="L3">
        <f>L2+5000</f>
        <v>15000</v>
      </c>
      <c r="M3">
        <f t="shared" ref="M3:M25" si="2">IF(H2&gt;0, (O3 - A3 - D3-E3)/O3, 0)</f>
        <v>0.9999366666666667</v>
      </c>
      <c r="O3">
        <v>150000</v>
      </c>
    </row>
    <row r="4" spans="1:15" ht="15" thickBot="1" x14ac:dyDescent="0.35">
      <c r="A4" s="1"/>
      <c r="B4" s="1">
        <v>30</v>
      </c>
      <c r="C4" s="1">
        <v>15</v>
      </c>
      <c r="D4" s="1">
        <v>4.5</v>
      </c>
      <c r="E4" s="4">
        <f t="shared" si="0"/>
        <v>5</v>
      </c>
      <c r="F4" s="1">
        <v>5.5</v>
      </c>
      <c r="G4">
        <f t="shared" ref="G4:G26" si="3">(F4*I4)-K4-L4</f>
        <v>10500</v>
      </c>
      <c r="H4">
        <f t="shared" si="1"/>
        <v>8400</v>
      </c>
      <c r="I4">
        <v>4000</v>
      </c>
      <c r="J4" s="2">
        <v>0.2</v>
      </c>
      <c r="K4">
        <v>1500</v>
      </c>
      <c r="L4">
        <v>10000</v>
      </c>
      <c r="M4">
        <f t="shared" si="2"/>
        <v>0.99992083333333337</v>
      </c>
      <c r="O4">
        <v>120000</v>
      </c>
    </row>
    <row r="5" spans="1:15" ht="15" thickBot="1" x14ac:dyDescent="0.35">
      <c r="E5" s="4">
        <f t="shared" si="0"/>
        <v>0</v>
      </c>
      <c r="G5">
        <f t="shared" si="3"/>
        <v>0</v>
      </c>
      <c r="H5">
        <f t="shared" si="1"/>
        <v>0</v>
      </c>
      <c r="O5">
        <v>0</v>
      </c>
    </row>
    <row r="6" spans="1:15" ht="15" thickBot="1" x14ac:dyDescent="0.35">
      <c r="E6" s="4">
        <f t="shared" si="0"/>
        <v>0</v>
      </c>
      <c r="G6">
        <f t="shared" si="3"/>
        <v>0</v>
      </c>
      <c r="H6">
        <f t="shared" si="1"/>
        <v>0</v>
      </c>
      <c r="M6">
        <f t="shared" si="2"/>
        <v>0</v>
      </c>
      <c r="O6">
        <v>0</v>
      </c>
    </row>
    <row r="7" spans="1:15" ht="15" thickBot="1" x14ac:dyDescent="0.35">
      <c r="A7">
        <v>15</v>
      </c>
      <c r="B7">
        <v>35</v>
      </c>
      <c r="C7">
        <v>15</v>
      </c>
      <c r="D7">
        <v>4.5</v>
      </c>
      <c r="E7" s="4">
        <f t="shared" si="0"/>
        <v>5</v>
      </c>
      <c r="F7">
        <v>5.5</v>
      </c>
      <c r="G7">
        <f t="shared" si="3"/>
        <v>16000</v>
      </c>
      <c r="H7">
        <f t="shared" si="1"/>
        <v>12800</v>
      </c>
      <c r="I7">
        <v>5000</v>
      </c>
      <c r="J7" s="2">
        <v>0.2</v>
      </c>
      <c r="K7">
        <v>1500</v>
      </c>
      <c r="L7">
        <v>10000</v>
      </c>
      <c r="M7">
        <f t="shared" si="2"/>
        <v>0</v>
      </c>
      <c r="O7">
        <v>150000</v>
      </c>
    </row>
    <row r="8" spans="1:15" ht="15" thickBot="1" x14ac:dyDescent="0.35">
      <c r="E8" s="4">
        <f t="shared" si="0"/>
        <v>0</v>
      </c>
      <c r="G8">
        <f t="shared" si="3"/>
        <v>0</v>
      </c>
      <c r="H8">
        <f t="shared" si="1"/>
        <v>0</v>
      </c>
      <c r="M8" t="e">
        <f t="shared" si="2"/>
        <v>#DIV/0!</v>
      </c>
      <c r="O8">
        <v>0</v>
      </c>
    </row>
    <row r="9" spans="1:15" ht="15" thickBot="1" x14ac:dyDescent="0.35">
      <c r="E9" s="4">
        <f t="shared" si="0"/>
        <v>0</v>
      </c>
      <c r="G9">
        <f t="shared" si="3"/>
        <v>0</v>
      </c>
      <c r="H9">
        <f t="shared" si="1"/>
        <v>0</v>
      </c>
      <c r="M9">
        <f t="shared" si="2"/>
        <v>0</v>
      </c>
      <c r="O9">
        <v>0</v>
      </c>
    </row>
    <row r="10" spans="1:15" ht="15" thickBot="1" x14ac:dyDescent="0.35">
      <c r="A10">
        <v>15</v>
      </c>
      <c r="B10">
        <v>35</v>
      </c>
      <c r="C10">
        <v>15</v>
      </c>
      <c r="D10">
        <v>4.5</v>
      </c>
      <c r="E10" s="4">
        <f t="shared" si="0"/>
        <v>5</v>
      </c>
      <c r="F10">
        <v>5.5</v>
      </c>
      <c r="G10">
        <f t="shared" si="3"/>
        <v>16000</v>
      </c>
      <c r="H10">
        <f t="shared" si="1"/>
        <v>12000</v>
      </c>
      <c r="I10">
        <v>5000</v>
      </c>
      <c r="J10" s="2">
        <v>0.25</v>
      </c>
      <c r="K10">
        <v>1500</v>
      </c>
      <c r="L10">
        <v>10000</v>
      </c>
      <c r="M10">
        <f t="shared" si="2"/>
        <v>0</v>
      </c>
      <c r="O10">
        <v>150000</v>
      </c>
    </row>
    <row r="11" spans="1:15" ht="15" thickBot="1" x14ac:dyDescent="0.35">
      <c r="A11">
        <v>15</v>
      </c>
      <c r="B11">
        <v>30</v>
      </c>
      <c r="C11">
        <v>15</v>
      </c>
      <c r="D11">
        <v>4.5</v>
      </c>
      <c r="E11" s="4">
        <f t="shared" si="0"/>
        <v>5</v>
      </c>
      <c r="F11">
        <v>5.5</v>
      </c>
      <c r="G11">
        <f t="shared" si="3"/>
        <v>16000</v>
      </c>
      <c r="H11">
        <f t="shared" si="1"/>
        <v>12000</v>
      </c>
      <c r="I11">
        <v>5000</v>
      </c>
      <c r="J11" s="2">
        <v>0.25</v>
      </c>
      <c r="K11">
        <v>1500</v>
      </c>
      <c r="L11">
        <v>10000</v>
      </c>
      <c r="M11">
        <f t="shared" si="2"/>
        <v>0.99983666666666671</v>
      </c>
      <c r="O11">
        <v>150000</v>
      </c>
    </row>
    <row r="12" spans="1:15" ht="15" thickBot="1" x14ac:dyDescent="0.35">
      <c r="E12" s="4">
        <f t="shared" si="0"/>
        <v>0</v>
      </c>
      <c r="G12">
        <f t="shared" si="3"/>
        <v>0</v>
      </c>
      <c r="H12">
        <f t="shared" si="1"/>
        <v>0</v>
      </c>
      <c r="M12" t="e">
        <f t="shared" si="2"/>
        <v>#DIV/0!</v>
      </c>
      <c r="O12">
        <v>0</v>
      </c>
    </row>
    <row r="13" spans="1:15" ht="15" thickBot="1" x14ac:dyDescent="0.35">
      <c r="E13" s="4">
        <f t="shared" si="0"/>
        <v>0</v>
      </c>
      <c r="G13">
        <f t="shared" si="3"/>
        <v>0</v>
      </c>
      <c r="H13">
        <f t="shared" si="1"/>
        <v>0</v>
      </c>
      <c r="M13">
        <f t="shared" si="2"/>
        <v>0</v>
      </c>
      <c r="O13">
        <v>0</v>
      </c>
    </row>
    <row r="14" spans="1:15" ht="15" thickBot="1" x14ac:dyDescent="0.35">
      <c r="E14" s="4">
        <f t="shared" si="0"/>
        <v>0</v>
      </c>
      <c r="G14">
        <f t="shared" si="3"/>
        <v>0</v>
      </c>
      <c r="H14">
        <f t="shared" si="1"/>
        <v>0</v>
      </c>
      <c r="M14">
        <f t="shared" si="2"/>
        <v>0</v>
      </c>
      <c r="O14">
        <v>0</v>
      </c>
    </row>
    <row r="15" spans="1:15" ht="15" thickBot="1" x14ac:dyDescent="0.35">
      <c r="E15" s="4">
        <f t="shared" si="0"/>
        <v>0</v>
      </c>
      <c r="G15">
        <f t="shared" si="3"/>
        <v>0</v>
      </c>
      <c r="H15">
        <f t="shared" si="1"/>
        <v>0</v>
      </c>
      <c r="M15">
        <f t="shared" si="2"/>
        <v>0</v>
      </c>
      <c r="O15">
        <v>0</v>
      </c>
    </row>
    <row r="16" spans="1:15" ht="15" thickBot="1" x14ac:dyDescent="0.35">
      <c r="E16" s="4">
        <f t="shared" si="0"/>
        <v>0</v>
      </c>
      <c r="G16">
        <f t="shared" si="3"/>
        <v>0</v>
      </c>
      <c r="H16">
        <f t="shared" si="1"/>
        <v>0</v>
      </c>
      <c r="M16">
        <f t="shared" si="2"/>
        <v>0</v>
      </c>
      <c r="O16">
        <v>0</v>
      </c>
    </row>
    <row r="17" spans="5:15" ht="15" thickBot="1" x14ac:dyDescent="0.35">
      <c r="E17" s="4">
        <f t="shared" si="0"/>
        <v>0</v>
      </c>
      <c r="G17">
        <f t="shared" si="3"/>
        <v>0</v>
      </c>
      <c r="H17">
        <f t="shared" si="1"/>
        <v>0</v>
      </c>
      <c r="M17">
        <f t="shared" si="2"/>
        <v>0</v>
      </c>
      <c r="O17">
        <v>0</v>
      </c>
    </row>
    <row r="18" spans="5:15" ht="15" thickBot="1" x14ac:dyDescent="0.35">
      <c r="E18" s="4">
        <f t="shared" si="0"/>
        <v>0</v>
      </c>
      <c r="G18">
        <f t="shared" si="3"/>
        <v>0</v>
      </c>
      <c r="H18">
        <f t="shared" si="1"/>
        <v>0</v>
      </c>
      <c r="M18">
        <f t="shared" si="2"/>
        <v>0</v>
      </c>
      <c r="O18">
        <v>0</v>
      </c>
    </row>
    <row r="19" spans="5:15" ht="15" thickBot="1" x14ac:dyDescent="0.35">
      <c r="E19" s="4">
        <f t="shared" si="0"/>
        <v>0</v>
      </c>
      <c r="G19">
        <f t="shared" si="3"/>
        <v>0</v>
      </c>
      <c r="H19">
        <f t="shared" si="1"/>
        <v>0</v>
      </c>
      <c r="M19">
        <f t="shared" si="2"/>
        <v>0</v>
      </c>
      <c r="O19">
        <v>0</v>
      </c>
    </row>
    <row r="20" spans="5:15" ht="15" thickBot="1" x14ac:dyDescent="0.35">
      <c r="E20" s="4">
        <f t="shared" si="0"/>
        <v>0</v>
      </c>
      <c r="G20">
        <f t="shared" si="3"/>
        <v>0</v>
      </c>
      <c r="H20">
        <f t="shared" si="1"/>
        <v>0</v>
      </c>
      <c r="M20">
        <f t="shared" si="2"/>
        <v>0</v>
      </c>
      <c r="O20">
        <v>0</v>
      </c>
    </row>
    <row r="21" spans="5:15" ht="15" thickBot="1" x14ac:dyDescent="0.35">
      <c r="E21" s="4">
        <f t="shared" si="0"/>
        <v>0</v>
      </c>
      <c r="G21">
        <f t="shared" si="3"/>
        <v>0</v>
      </c>
      <c r="H21">
        <f t="shared" si="1"/>
        <v>0</v>
      </c>
      <c r="M21">
        <f t="shared" si="2"/>
        <v>0</v>
      </c>
      <c r="O21">
        <v>0</v>
      </c>
    </row>
    <row r="22" spans="5:15" x14ac:dyDescent="0.3">
      <c r="G22">
        <f t="shared" si="3"/>
        <v>0</v>
      </c>
      <c r="H22">
        <f t="shared" si="1"/>
        <v>0</v>
      </c>
      <c r="M22">
        <f t="shared" si="2"/>
        <v>0</v>
      </c>
      <c r="O22">
        <v>0</v>
      </c>
    </row>
    <row r="23" spans="5:15" x14ac:dyDescent="0.3">
      <c r="G23">
        <f t="shared" si="3"/>
        <v>0</v>
      </c>
      <c r="H23">
        <f t="shared" si="1"/>
        <v>0</v>
      </c>
      <c r="M23">
        <f t="shared" si="2"/>
        <v>0</v>
      </c>
      <c r="O23">
        <v>0</v>
      </c>
    </row>
    <row r="24" spans="5:15" x14ac:dyDescent="0.3">
      <c r="G24">
        <f t="shared" si="3"/>
        <v>0</v>
      </c>
      <c r="H24">
        <f>G24*(1-J24)</f>
        <v>0</v>
      </c>
      <c r="M24">
        <f t="shared" si="2"/>
        <v>0</v>
      </c>
      <c r="O24">
        <v>0</v>
      </c>
    </row>
    <row r="25" spans="5:15" x14ac:dyDescent="0.3">
      <c r="G25">
        <f t="shared" si="3"/>
        <v>0</v>
      </c>
      <c r="H25">
        <f t="shared" si="1"/>
        <v>0</v>
      </c>
      <c r="M25">
        <f t="shared" si="2"/>
        <v>0</v>
      </c>
      <c r="O25">
        <v>0</v>
      </c>
    </row>
    <row r="26" spans="5:15" x14ac:dyDescent="0.3">
      <c r="G26">
        <f t="shared" si="3"/>
        <v>0</v>
      </c>
      <c r="O26">
        <v>0</v>
      </c>
    </row>
    <row r="27" spans="5:15" x14ac:dyDescent="0.3">
      <c r="O27">
        <v>0</v>
      </c>
    </row>
    <row r="28" spans="5:15" x14ac:dyDescent="0.3">
      <c r="O28">
        <v>0</v>
      </c>
    </row>
    <row r="29" spans="5:15" x14ac:dyDescent="0.3">
      <c r="O29">
        <v>0</v>
      </c>
    </row>
    <row r="30" spans="5:15" x14ac:dyDescent="0.3">
      <c r="O30">
        <v>0</v>
      </c>
    </row>
    <row r="31" spans="5:15" x14ac:dyDescent="0.3">
      <c r="O31">
        <v>0</v>
      </c>
    </row>
    <row r="32" spans="5:15" x14ac:dyDescent="0.3">
      <c r="O32">
        <v>0</v>
      </c>
    </row>
    <row r="33" spans="15:15" x14ac:dyDescent="0.3">
      <c r="O33">
        <v>0</v>
      </c>
    </row>
    <row r="34" spans="15:15" x14ac:dyDescent="0.3">
      <c r="O34">
        <v>0</v>
      </c>
    </row>
    <row r="35" spans="15:15" x14ac:dyDescent="0.3">
      <c r="O35">
        <v>0</v>
      </c>
    </row>
    <row r="36" spans="15:15" x14ac:dyDescent="0.3">
      <c r="O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shiwanikapri1995@gmail.com</dc:creator>
  <cp:lastModifiedBy>shiwanikapri1995@gmail.com</cp:lastModifiedBy>
  <dcterms:created xsi:type="dcterms:W3CDTF">2025-03-19T07:36:18Z</dcterms:created>
  <dcterms:modified xsi:type="dcterms:W3CDTF">2025-03-19T21:30:26Z</dcterms:modified>
</cp:coreProperties>
</file>